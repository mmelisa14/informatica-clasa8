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lisa\Desktop\"/>
    </mc:Choice>
  </mc:AlternateContent>
  <xr:revisionPtr revIDLastSave="0" documentId="13_ncr:1_{79B6384E-91AB-4696-9507-3297357FC455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Instructiuni" sheetId="1" r:id="rId1"/>
    <sheet name="Vanzari Produse" sheetId="2" r:id="rId2"/>
    <sheet name="Angajati" sheetId="3" r:id="rId3"/>
    <sheet name="Note Elevi" sheetId="4" r:id="rId4"/>
    <sheet name="Cheltuieli Lunar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" i="4" l="1"/>
  <c r="F4" i="2"/>
  <c r="I5" i="2"/>
  <c r="I4" i="2"/>
  <c r="I8" i="5"/>
  <c r="I7" i="5"/>
  <c r="I6" i="5"/>
  <c r="I5" i="5"/>
  <c r="I4" i="5"/>
  <c r="H8" i="4"/>
  <c r="H7" i="4"/>
  <c r="H6" i="4"/>
  <c r="H5" i="4"/>
  <c r="I8" i="3"/>
  <c r="I7" i="3"/>
  <c r="I6" i="3"/>
  <c r="I5" i="3"/>
  <c r="I4" i="3"/>
  <c r="I7" i="2"/>
  <c r="I6" i="2"/>
</calcChain>
</file>

<file path=xl/sharedStrings.xml><?xml version="1.0" encoding="utf-8"?>
<sst xmlns="http://schemas.openxmlformats.org/spreadsheetml/2006/main" count="289" uniqueCount="193">
  <si>
    <t>REGISTRU DE EXERCITII EXCEL</t>
  </si>
  <si>
    <t>Acest registru contine 4 foi de lucru, fiecare cu un tabel de date si un set de cerinte de rezolvat.</t>
  </si>
  <si>
    <t>Foi disponibile:</t>
  </si>
  <si>
    <t xml:space="preserve">  1. Vanzari Produse - tabel cu produse, categorii, cantitati si preturi.</t>
  </si>
  <si>
    <t xml:space="preserve">  2. Angajati - tabel cu angajati, departamente, salarii si vechime.</t>
  </si>
  <si>
    <t xml:space="preserve">  3. Note Elevi - catalog cu note si absente pe materii.</t>
  </si>
  <si>
    <t xml:space="preserve">  4. Cheltuieli Lunare - buget personal cu cheltuieli pe categorii.</t>
  </si>
  <si>
    <t>Cum se lucreaza:</t>
  </si>
  <si>
    <t xml:space="preserve">  - Sub fiecare tabel gasiti sectiunea CERINTE / EXERCITII.</t>
  </si>
  <si>
    <t xml:space="preserve">  - Scrieti formula ceruta direct in celula galbena din dreptul fiecarei cerinte (coloana Raspuns).</t>
  </si>
  <si>
    <t xml:space="preserve">  - Functiile exersate: SUM, AVERAGE, AVERAGEIF, COUNT, COUNTIF, SUMIF, MAX, MIN.</t>
  </si>
  <si>
    <t xml:space="preserve">  - Exersati de asemenea formatarea conditionata (Conditional Formatting) si crearea de grafice.</t>
  </si>
  <si>
    <t xml:space="preserve">  - In dreapta fiecarui tabel exista deja un mic tabel ajutator si un grafic generat automat,</t>
  </si>
  <si>
    <t xml:space="preserve">    util ca model / verificare pentru exercitiul cu grafic.</t>
  </si>
  <si>
    <t>Spor la exercitii!</t>
  </si>
  <si>
    <t>TABEL VANZARI PRODUSE - MAGAZIN</t>
  </si>
  <si>
    <t>Nr.</t>
  </si>
  <si>
    <t>Produs</t>
  </si>
  <si>
    <t>Categorie</t>
  </si>
  <si>
    <t>Cantitate
(buc)</t>
  </si>
  <si>
    <t>Pret unitar
(RON)</t>
  </si>
  <si>
    <t>Total
(RON)</t>
  </si>
  <si>
    <t>Total (RON)</t>
  </si>
  <si>
    <t>Laptop Asus</t>
  </si>
  <si>
    <t>Electronice</t>
  </si>
  <si>
    <t>Telefon Samsung</t>
  </si>
  <si>
    <t>Imbracaminte</t>
  </si>
  <si>
    <t>Casti Bluetooth</t>
  </si>
  <si>
    <t>Alimente</t>
  </si>
  <si>
    <t>Tricou barbati</t>
  </si>
  <si>
    <t>Cosmetice</t>
  </si>
  <si>
    <t>Pantaloni jeans</t>
  </si>
  <si>
    <t>Jacheta iarna</t>
  </si>
  <si>
    <t>Paine</t>
  </si>
  <si>
    <t>Lapte 1L</t>
  </si>
  <si>
    <t>Cafea 500g</t>
  </si>
  <si>
    <t>Crema fata</t>
  </si>
  <si>
    <t>Sampon</t>
  </si>
  <si>
    <t>Parfum</t>
  </si>
  <si>
    <t>Monitor LG</t>
  </si>
  <si>
    <t>Rochie eleganta</t>
  </si>
  <si>
    <t>Ciocolata</t>
  </si>
  <si>
    <t>* Coloana Total este calculata automat (Cantitate x Pret unitar).</t>
  </si>
  <si>
    <t>CERINTE / EXERCITII - Vanzari Produse</t>
  </si>
  <si>
    <t>Cerinta</t>
  </si>
  <si>
    <t>Raspuns</t>
  </si>
  <si>
    <t>Calculati SUMA totala a vanzarilor (coloana Total) folosind functia SUM.</t>
  </si>
  <si>
    <t>Calculati MEDIA pretului unitar al tuturor produselor folosind functia AVERAGE.</t>
  </si>
  <si>
    <t>Numarati cate produse au cantitatea vanduta mai mare de 50 buc, folosind COUNTIF.</t>
  </si>
  <si>
    <t>Calculati suma vanzarilor doar pentru categoria "Electronice", folosind SUMIF.</t>
  </si>
  <si>
    <t>Calculati numarul total de produse din tabel folosind functia COUNT.</t>
  </si>
  <si>
    <t>Aflati pretul unitar MAXIM si MINIM din tabel (functiile MAX si MIN).</t>
  </si>
  <si>
    <t>Formatare conditionata: evidentiati cu rosu produsele cu cantitate mai mica de 15 buc.</t>
  </si>
  <si>
    <t>Creati un grafic de tip COLOANE (bar chart) care sa arate valoarea totala a vanzarilor pe fiecare categorie de produse.</t>
  </si>
  <si>
    <t>TABEL ANGAJATI - RESURSE UMANE</t>
  </si>
  <si>
    <t>Nume</t>
  </si>
  <si>
    <t>Departament</t>
  </si>
  <si>
    <t>Salariu
(RON)</t>
  </si>
  <si>
    <t>Vechime
(ani)</t>
  </si>
  <si>
    <t>Data
angajarii</t>
  </si>
  <si>
    <t>Nr. angajati</t>
  </si>
  <si>
    <t>Popescu Ana</t>
  </si>
  <si>
    <t>IT</t>
  </si>
  <si>
    <t>15.03.2021</t>
  </si>
  <si>
    <t>Ionescu Mihai</t>
  </si>
  <si>
    <t>Vanzari</t>
  </si>
  <si>
    <t>10.01.2017</t>
  </si>
  <si>
    <t>Georgescu Radu</t>
  </si>
  <si>
    <t>05.06.2023</t>
  </si>
  <si>
    <t>Marketing</t>
  </si>
  <si>
    <t>Dumitrescu Elena</t>
  </si>
  <si>
    <t>20.09.2019</t>
  </si>
  <si>
    <t>Contabilitate</t>
  </si>
  <si>
    <t>Stan Andrei</t>
  </si>
  <si>
    <t>01.02.2014</t>
  </si>
  <si>
    <t>Resurse Umane</t>
  </si>
  <si>
    <t>Vasile Maria</t>
  </si>
  <si>
    <t>12.11.2022</t>
  </si>
  <si>
    <t>Constantin Ioana</t>
  </si>
  <si>
    <t>07.08.2024</t>
  </si>
  <si>
    <t>Marin George</t>
  </si>
  <si>
    <t>18.04.2018</t>
  </si>
  <si>
    <t>Nistor Cristina</t>
  </si>
  <si>
    <t>25.05.2020</t>
  </si>
  <si>
    <t>Tudor Alexandru</t>
  </si>
  <si>
    <t>14.07.2016</t>
  </si>
  <si>
    <t>Barbu Diana</t>
  </si>
  <si>
    <t>30.10.2023</t>
  </si>
  <si>
    <t>Rusu Florin</t>
  </si>
  <si>
    <t>02.03.2012</t>
  </si>
  <si>
    <t>Dinu Laura</t>
  </si>
  <si>
    <t>19.06.2021</t>
  </si>
  <si>
    <t>Sandu Bogdan</t>
  </si>
  <si>
    <t>09.09.2019</t>
  </si>
  <si>
    <t>Matei Simona</t>
  </si>
  <si>
    <t>22.01.2015</t>
  </si>
  <si>
    <t>CERINTE / EXERCITII - Angajati</t>
  </si>
  <si>
    <t>Calculati MEDIA salariilor tuturor angajatilor folosind AVERAGE.</t>
  </si>
  <si>
    <t>Calculati suma totala a salariilor lunare (functia SUM).</t>
  </si>
  <si>
    <t>Numarati cati angajati lucreaza in departamentul "IT", folosind COUNTIF.</t>
  </si>
  <si>
    <t>Calculati suma salariilor doar pentru departamentul "Vanzari", folosind SUMIF.</t>
  </si>
  <si>
    <t>Numarati cati angajati au vechime mai mare de 5 ani, folosind COUNTIF.</t>
  </si>
  <si>
    <t>Aflati salariul MAXIM si salariul MINIM din companie (MAX, MIN).</t>
  </si>
  <si>
    <t>Formatare conditionata: evidentiati cu verde angajatii cu vechime mai mare de 10 ani.</t>
  </si>
  <si>
    <t>Creati un grafic CIRCULAR (pie chart) care sa arate numarul de angajati din fiecare departament.</t>
  </si>
  <si>
    <t>TABEL NOTE ELEVI - CATALOG CLASA</t>
  </si>
  <si>
    <t>Nume elev</t>
  </si>
  <si>
    <t>Materie</t>
  </si>
  <si>
    <t>Nota</t>
  </si>
  <si>
    <t>Absente</t>
  </si>
  <si>
    <t>Media notelor</t>
  </si>
  <si>
    <t>Andrei Popa</t>
  </si>
  <si>
    <t>Matematica</t>
  </si>
  <si>
    <t>Bianca Ilie</t>
  </si>
  <si>
    <t>Romana</t>
  </si>
  <si>
    <t>Cristian Vlad</t>
  </si>
  <si>
    <t>Engleza</t>
  </si>
  <si>
    <t>Diana Toma</t>
  </si>
  <si>
    <t>Informatica</t>
  </si>
  <si>
    <t>Emil Radu</t>
  </si>
  <si>
    <t>Fizica</t>
  </si>
  <si>
    <t>Florina Dobre</t>
  </si>
  <si>
    <t>Gabriel Stoica</t>
  </si>
  <si>
    <t>Horia Marin</t>
  </si>
  <si>
    <t>Ioana Cretu</t>
  </si>
  <si>
    <t>Iulia Neagu</t>
  </si>
  <si>
    <t>Lucian Barbu</t>
  </si>
  <si>
    <t>Mihaela Sava</t>
  </si>
  <si>
    <t>Nicolae Pop</t>
  </si>
  <si>
    <t>Oana Ilie</t>
  </si>
  <si>
    <t>Paul Georgescu</t>
  </si>
  <si>
    <t>Raluca Dumitru</t>
  </si>
  <si>
    <t>Sergiu Nistor</t>
  </si>
  <si>
    <t>Teodora Rusu</t>
  </si>
  <si>
    <t>CERINTE / EXERCITII - Note Elevi</t>
  </si>
  <si>
    <t>Calculati MEDIA generala a tuturor notelor din catalog, folosind AVERAGE.</t>
  </si>
  <si>
    <t>Calculati suma tuturor notelor folosind functia SUM.</t>
  </si>
  <si>
    <t>Numarati cati elevi au nota peste 8 (inclusiv), folosind COUNTIF.</t>
  </si>
  <si>
    <t>Calculati media notelor la "Matematica", folosind AVERAGEIF.</t>
  </si>
  <si>
    <t>Numarati elevii corigenti, adica cei cu nota sub 5, folosind COUNTIF.</t>
  </si>
  <si>
    <t>Calculati suma notelor obtinute la "Engleza", folosind SUMIF.</t>
  </si>
  <si>
    <t>Formatare conditionata: colorati cu rosu notele sub 5 si cu verde notele de 9 sau 10.</t>
  </si>
  <si>
    <t>Creati un grafic de tip COLOANE care sa arate media notelor pentru fiecare materie.</t>
  </si>
  <si>
    <t>TABEL CHELTUIELI LUNARE - BUGET PERSONAL</t>
  </si>
  <si>
    <t>Data</t>
  </si>
  <si>
    <t>Descriere</t>
  </si>
  <si>
    <t>Suma
(RON)</t>
  </si>
  <si>
    <t>Metoda
plata</t>
  </si>
  <si>
    <t>02.09.2026</t>
  </si>
  <si>
    <t>Cumparaturi Kaufland</t>
  </si>
  <si>
    <t>Card</t>
  </si>
  <si>
    <t>03.09.2026</t>
  </si>
  <si>
    <t>Transport</t>
  </si>
  <si>
    <t>Abonament RATB</t>
  </si>
  <si>
    <t>Numerar</t>
  </si>
  <si>
    <t>05.09.2026</t>
  </si>
  <si>
    <t>Utilitati</t>
  </si>
  <si>
    <t>Factura curent</t>
  </si>
  <si>
    <t>06.09.2026</t>
  </si>
  <si>
    <t>Divertisment</t>
  </si>
  <si>
    <t>Cinema</t>
  </si>
  <si>
    <t>08.09.2026</t>
  </si>
  <si>
    <t>Piata legume</t>
  </si>
  <si>
    <t>Sanatate</t>
  </si>
  <si>
    <t>10.09.2026</t>
  </si>
  <si>
    <t>Farmacie</t>
  </si>
  <si>
    <t>11.09.2026</t>
  </si>
  <si>
    <t>Factura internet</t>
  </si>
  <si>
    <t>12.09.2026</t>
  </si>
  <si>
    <t>Benzina</t>
  </si>
  <si>
    <t>14.09.2026</t>
  </si>
  <si>
    <t>Abonament Netflix</t>
  </si>
  <si>
    <t>15.09.2026</t>
  </si>
  <si>
    <t>Cumparaturi Mega Image</t>
  </si>
  <si>
    <t>17.09.2026</t>
  </si>
  <si>
    <t>Consult medical</t>
  </si>
  <si>
    <t>18.09.2026</t>
  </si>
  <si>
    <t>Parcare</t>
  </si>
  <si>
    <t>19.09.2026</t>
  </si>
  <si>
    <t>Factura gaze</t>
  </si>
  <si>
    <t>21.09.2026</t>
  </si>
  <si>
    <t>Concert</t>
  </si>
  <si>
    <t>22.09.2026</t>
  </si>
  <si>
    <t>Restaurant</t>
  </si>
  <si>
    <t>CERINTE / EXERCITII - Cheltuieli Lunare</t>
  </si>
  <si>
    <t>Calculati suma totala a cheltuielilor din luna, folosind SUM.</t>
  </si>
  <si>
    <t>Calculati MEDIA cheltuielilor pe tranzactie, folosind AVERAGE.</t>
  </si>
  <si>
    <t>Numarati cate cheltuieli depasesc 200 RON, folosind COUNTIF.</t>
  </si>
  <si>
    <t>Calculati suma cheltuielilor pentru categoria "Alimente", folosind SUMIF.</t>
  </si>
  <si>
    <t>Numarati cate cheltuieli au fost platite cu "Card", folosind COUNTIF.</t>
  </si>
  <si>
    <t>Aflati cea mai mare si cea mai mica cheltuiala (MAX, MIN).</t>
  </si>
  <si>
    <t>Formatare conditionata: evidentiati cu portocaliu cheltuielile de peste 250 RON.</t>
  </si>
  <si>
    <t>Creati un grafic CIRCULAR care sa arate distributia cheltuielilor pe categorii.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</si>
</sst>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RON&quot;"/>
    <numFmt numFmtId="165" formatCode="#,##0&quot; RON&quot;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10"/>
      <color rgb="FF7F7F7F"/>
      <name val="Arial"/>
      <charset val="1"/>
    </font>
    <font>
      <b/>
      <sz val="12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7F7F7F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6" borderId="1" xfId="0" applyFill="1" applyBorder="1"/>
    <xf numFmtId="165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/>
    <xf numFmtId="165" fontId="2" fillId="0" borderId="1" xfId="0" applyNumberFormat="1" applyFont="1" applyBorder="1"/>
    <xf numFmtId="164" fontId="0" fillId="6" borderId="1" xfId="0" applyNumberFormat="1" applyFill="1" applyBorder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6" fillId="4" borderId="0" xfId="0" applyFont="1" applyFill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16"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24994659260841701"/>
      </font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2499465926084170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7B7B7"/>
      <rgbColor rgb="FF7F7F7F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CE4D6"/>
      <rgbColor rgb="FF99CCFF"/>
      <rgbColor rgb="FFFF99CC"/>
      <rgbColor rgb="FFCC99FF"/>
      <rgbColor rgb="FFFFC7CE"/>
      <rgbColor rgb="FF2E75B6"/>
      <rgbColor rgb="FF4BACC6"/>
      <rgbColor rgb="FF9BBB59"/>
      <rgbColor rgb="FFFFCC00"/>
      <rgbColor rgb="FFFF9900"/>
      <rgbColor rgb="FFC65911"/>
      <rgbColor rgb="FF8064A2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Vanzari totale pe categorii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'Vanzari Produse'!$I$3</c:f>
              <c:strCache>
                <c:ptCount val="1"/>
                <c:pt idx="0">
                  <c:v>Total (RON)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'Vanzari Produse'!$H$4:$H$7</c:f>
              <c:strCache>
                <c:ptCount val="4"/>
                <c:pt idx="0">
                  <c:v>Electronice</c:v>
                </c:pt>
                <c:pt idx="1">
                  <c:v>Imbracaminte</c:v>
                </c:pt>
                <c:pt idx="2">
                  <c:v>Alimente</c:v>
                </c:pt>
                <c:pt idx="3">
                  <c:v>Cosmetice</c:v>
                </c:pt>
              </c:strCache>
            </c:strRef>
          </c:cat>
          <c:val>
            <c:numRef>
              <c:f>'Vanzari Produse'!$I$4:$I$7</c:f>
              <c:numCache>
                <c:formatCode>#,##0.00" RON"</c:formatCode>
                <c:ptCount val="4"/>
                <c:pt idx="0">
                  <c:v>38400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2-412F-BC6F-1545BF3FB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92070"/>
        <c:axId val="23740183"/>
      </c:barChart>
      <c:catAx>
        <c:axId val="39992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Categorie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40183"/>
        <c:crosses val="autoZero"/>
        <c:auto val="1"/>
        <c:lblAlgn val="ctr"/>
        <c:lblOffset val="100"/>
        <c:noMultiLvlLbl val="0"/>
      </c:catAx>
      <c:valAx>
        <c:axId val="23740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RON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920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Angajati pe departamente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Angajati!$I$3</c:f>
              <c:strCache>
                <c:ptCount val="1"/>
                <c:pt idx="0">
                  <c:v>Nr. angajati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22E-4220-9301-BE85D8F22C5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22E-4220-9301-BE85D8F22C5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22E-4220-9301-BE85D8F22C5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22E-4220-9301-BE85D8F22C5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22E-4220-9301-BE85D8F22C5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2E-4220-9301-BE85D8F22C5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2E-4220-9301-BE85D8F22C5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2E-4220-9301-BE85D8F22C5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2E-4220-9301-BE85D8F22C5D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22E-4220-9301-BE85D8F22C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Angajati!$H$4:$H$8</c:f>
              <c:strCache>
                <c:ptCount val="5"/>
                <c:pt idx="0">
                  <c:v>IT</c:v>
                </c:pt>
                <c:pt idx="1">
                  <c:v>Vanzari</c:v>
                </c:pt>
                <c:pt idx="2">
                  <c:v>Marketing</c:v>
                </c:pt>
                <c:pt idx="3">
                  <c:v>Contabilitate</c:v>
                </c:pt>
                <c:pt idx="4">
                  <c:v>Resurse Umane</c:v>
                </c:pt>
              </c:strCache>
            </c:strRef>
          </c:cat>
          <c:val>
            <c:numRef>
              <c:f>Angajati!$I$4:$I$8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2E-4220-9301-BE85D8F22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Media notelor pe materii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'Note Elevi'!$H$3</c:f>
              <c:strCache>
                <c:ptCount val="1"/>
                <c:pt idx="0">
                  <c:v>Media notelor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'Note Elevi'!$G$4:$G$8</c:f>
              <c:strCache>
                <c:ptCount val="5"/>
                <c:pt idx="0">
                  <c:v>Matematica</c:v>
                </c:pt>
                <c:pt idx="1">
                  <c:v>Romana</c:v>
                </c:pt>
                <c:pt idx="2">
                  <c:v>Engleza</c:v>
                </c:pt>
                <c:pt idx="3">
                  <c:v>Informatica</c:v>
                </c:pt>
                <c:pt idx="4">
                  <c:v>Fizica</c:v>
                </c:pt>
              </c:strCache>
            </c:strRef>
          </c:cat>
          <c:val>
            <c:numRef>
              <c:f>'Note Elevi'!$H$4:$H$8</c:f>
              <c:numCache>
                <c:formatCode>0.00</c:formatCode>
                <c:ptCount val="5"/>
                <c:pt idx="0">
                  <c:v>7</c:v>
                </c:pt>
                <c:pt idx="1">
                  <c:v>6.5</c:v>
                </c:pt>
                <c:pt idx="2">
                  <c:v>9</c:v>
                </c:pt>
                <c:pt idx="3">
                  <c:v>8.3333333333333339</c:v>
                </c:pt>
                <c:pt idx="4">
                  <c:v>5.666666666666667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F-474F-8454-FA8B194D0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47937"/>
        <c:axId val="98089594"/>
      </c:barChart>
      <c:catAx>
        <c:axId val="921479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Materie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089594"/>
        <c:crosses val="autoZero"/>
        <c:auto val="1"/>
        <c:lblAlgn val="ctr"/>
        <c:lblOffset val="100"/>
        <c:noMultiLvlLbl val="0"/>
      </c:catAx>
      <c:valAx>
        <c:axId val="98089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Media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479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Cheltuieli pe categorii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'Cheltuieli Lunare'!$I$3</c:f>
              <c:strCache>
                <c:ptCount val="1"/>
                <c:pt idx="0">
                  <c:v>Total (RON)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3FC-4B1C-B3F7-9198DA41636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3FC-4B1C-B3F7-9198DA41636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3FC-4B1C-B3F7-9198DA41636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3FC-4B1C-B3F7-9198DA41636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3FC-4B1C-B3F7-9198DA41636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FC-4B1C-B3F7-9198DA41636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FC-4B1C-B3F7-9198DA41636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FC-4B1C-B3F7-9198DA41636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FC-4B1C-B3F7-9198DA41636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FC-4B1C-B3F7-9198DA4163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'Cheltuieli Lunare'!$H$4:$H$8</c:f>
              <c:strCache>
                <c:ptCount val="5"/>
                <c:pt idx="0">
                  <c:v>Alimente</c:v>
                </c:pt>
                <c:pt idx="1">
                  <c:v>Transport</c:v>
                </c:pt>
                <c:pt idx="2">
                  <c:v>Utilitati</c:v>
                </c:pt>
                <c:pt idx="3">
                  <c:v>Divertisment</c:v>
                </c:pt>
                <c:pt idx="4">
                  <c:v>Sanatate</c:v>
                </c:pt>
              </c:strCache>
            </c:strRef>
          </c:cat>
          <c:val>
            <c:numRef>
              <c:f>'Cheltuieli Lunare'!$I$4:$I$8</c:f>
              <c:numCache>
                <c:formatCode>#,##0" RON"</c:formatCode>
                <c:ptCount val="5"/>
                <c:pt idx="0">
                  <c:v>590</c:v>
                </c:pt>
                <c:pt idx="1">
                  <c:v>360</c:v>
                </c:pt>
                <c:pt idx="2">
                  <c:v>665</c:v>
                </c:pt>
                <c:pt idx="3">
                  <c:v>255</c:v>
                </c:pt>
                <c:pt idx="4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FC-4B1C-B3F7-9198DA416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400050</xdr:colOff>
      <xdr:row>5</xdr:row>
      <xdr:rowOff>163785</xdr:rowOff>
    </xdr:from>
    <xdr:to>
      <xdr:col>19</xdr:col>
      <xdr:colOff>555000</xdr:colOff>
      <xdr:row>20</xdr:row>
      <xdr:rowOff>185955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39960</xdr:rowOff>
    </xdr:from>
    <xdr:to>
      <xdr:col>13</xdr:col>
      <xdr:colOff>338040</xdr:colOff>
      <xdr:row>23</xdr:row>
      <xdr:rowOff>5040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4</xdr:row>
      <xdr:rowOff>123825</xdr:rowOff>
    </xdr:from>
    <xdr:to>
      <xdr:col>18</xdr:col>
      <xdr:colOff>490440</xdr:colOff>
      <xdr:row>19</xdr:row>
      <xdr:rowOff>145995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428625</xdr:colOff>
      <xdr:row>1</xdr:row>
      <xdr:rowOff>106635</xdr:rowOff>
    </xdr:from>
    <xdr:to>
      <xdr:col>18</xdr:col>
      <xdr:colOff>2910</xdr:colOff>
      <xdr:row>15</xdr:row>
      <xdr:rowOff>128865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defaultColWidth="8.7109375" defaultRowHeight="15" x14ac:dyDescent="0.25"/>
  <cols>
    <col min="1" max="1" width="100" customWidth="1"/>
  </cols>
  <sheetData>
    <row r="1" spans="1:1" ht="30" customHeight="1" x14ac:dyDescent="0.25">
      <c r="A1" s="2" t="s">
        <v>0</v>
      </c>
    </row>
    <row r="3" spans="1:1" x14ac:dyDescent="0.25">
      <c r="A3" s="3"/>
    </row>
    <row r="4" spans="1:1" x14ac:dyDescent="0.25">
      <c r="A4" s="3" t="s">
        <v>1</v>
      </c>
    </row>
    <row r="5" spans="1:1" x14ac:dyDescent="0.25">
      <c r="A5" s="3"/>
    </row>
    <row r="6" spans="1:1" x14ac:dyDescent="0.25">
      <c r="A6" s="4" t="s">
        <v>2</v>
      </c>
    </row>
    <row r="7" spans="1:1" x14ac:dyDescent="0.25">
      <c r="A7" s="3" t="s">
        <v>3</v>
      </c>
    </row>
    <row r="8" spans="1:1" x14ac:dyDescent="0.25">
      <c r="A8" s="3" t="s">
        <v>4</v>
      </c>
    </row>
    <row r="9" spans="1:1" x14ac:dyDescent="0.25">
      <c r="A9" s="3" t="s">
        <v>5</v>
      </c>
    </row>
    <row r="10" spans="1:1" x14ac:dyDescent="0.25">
      <c r="A10" s="3" t="s">
        <v>6</v>
      </c>
    </row>
    <row r="11" spans="1:1" x14ac:dyDescent="0.25">
      <c r="A11" s="3"/>
    </row>
    <row r="12" spans="1:1" x14ac:dyDescent="0.25">
      <c r="A12" s="4" t="s">
        <v>7</v>
      </c>
    </row>
    <row r="13" spans="1:1" x14ac:dyDescent="0.25">
      <c r="A13" s="3" t="s">
        <v>8</v>
      </c>
    </row>
    <row r="14" spans="1:1" x14ac:dyDescent="0.25">
      <c r="A14" s="3" t="s">
        <v>9</v>
      </c>
    </row>
    <row r="15" spans="1:1" x14ac:dyDescent="0.25">
      <c r="A15" s="3" t="s">
        <v>10</v>
      </c>
    </row>
    <row r="16" spans="1:1" x14ac:dyDescent="0.25">
      <c r="A16" s="3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/>
    </row>
    <row r="20" spans="1:1" x14ac:dyDescent="0.25">
      <c r="A20" s="3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opLeftCell="B1" zoomScaleNormal="100" workbookViewId="0">
      <pane ySplit="3" topLeftCell="A4" activePane="bottomLeft" state="frozen"/>
      <selection pane="bottomLeft" activeCell="H27" sqref="H25:H27"/>
    </sheetView>
  </sheetViews>
  <sheetFormatPr defaultColWidth="8.7109375" defaultRowHeight="15" x14ac:dyDescent="0.25"/>
  <cols>
    <col min="1" max="1" width="6" customWidth="1"/>
    <col min="2" max="2" width="24" customWidth="1"/>
    <col min="3" max="3" width="18" customWidth="1"/>
    <col min="4" max="4" width="12" customWidth="1"/>
    <col min="5" max="5" width="14" customWidth="1"/>
    <col min="6" max="6" width="16.7109375" bestFit="1" customWidth="1"/>
    <col min="8" max="8" width="16" customWidth="1"/>
    <col min="9" max="9" width="17.85546875" customWidth="1"/>
  </cols>
  <sheetData>
    <row r="1" spans="1:9" ht="25.5" customHeight="1" x14ac:dyDescent="0.25">
      <c r="A1" s="17" t="s">
        <v>15</v>
      </c>
      <c r="B1" s="17"/>
      <c r="C1" s="17"/>
      <c r="D1" s="17"/>
      <c r="E1" s="17"/>
      <c r="F1" s="17"/>
    </row>
    <row r="3" spans="1:9" ht="30" x14ac:dyDescent="0.25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H3" s="6" t="s">
        <v>18</v>
      </c>
      <c r="I3" s="6" t="s">
        <v>22</v>
      </c>
    </row>
    <row r="4" spans="1:9" x14ac:dyDescent="0.25">
      <c r="A4" s="7">
        <v>1</v>
      </c>
      <c r="B4" s="7" t="s">
        <v>23</v>
      </c>
      <c r="C4" s="7" t="s">
        <v>24</v>
      </c>
      <c r="D4" s="7">
        <v>12</v>
      </c>
      <c r="E4" s="8">
        <v>3200</v>
      </c>
      <c r="F4" s="8">
        <f>D4*E4</f>
        <v>38400</v>
      </c>
      <c r="H4" s="9" t="s">
        <v>24</v>
      </c>
      <c r="I4" s="10">
        <f>SUMIF($C$4:$C$18,H4,$F$4:$F$18)</f>
        <v>38400</v>
      </c>
    </row>
    <row r="5" spans="1:9" x14ac:dyDescent="0.25">
      <c r="A5" s="7">
        <v>2</v>
      </c>
      <c r="B5" s="7" t="s">
        <v>25</v>
      </c>
      <c r="C5" s="7" t="s">
        <v>24</v>
      </c>
      <c r="D5" s="7">
        <v>25</v>
      </c>
      <c r="E5" s="8">
        <v>1800</v>
      </c>
      <c r="F5" s="8"/>
      <c r="H5" s="9" t="s">
        <v>26</v>
      </c>
      <c r="I5" s="10">
        <f>SUMIF($C$4:$C$18,H5,$F$4:$F$18)</f>
        <v>0</v>
      </c>
    </row>
    <row r="6" spans="1:9" x14ac:dyDescent="0.25">
      <c r="A6" s="7">
        <v>3</v>
      </c>
      <c r="B6" s="7" t="s">
        <v>27</v>
      </c>
      <c r="C6" s="7" t="s">
        <v>24</v>
      </c>
      <c r="D6" s="7">
        <v>60</v>
      </c>
      <c r="E6" s="8">
        <v>150</v>
      </c>
      <c r="F6" s="8"/>
      <c r="H6" s="9" t="s">
        <v>28</v>
      </c>
      <c r="I6" s="10">
        <f>SUMIF($C$4:$C$18,H6,$F$4:$F$18)</f>
        <v>0</v>
      </c>
    </row>
    <row r="7" spans="1:9" x14ac:dyDescent="0.25">
      <c r="A7" s="7">
        <v>4</v>
      </c>
      <c r="B7" s="7" t="s">
        <v>29</v>
      </c>
      <c r="C7" s="7" t="s">
        <v>26</v>
      </c>
      <c r="D7" s="7">
        <v>80</v>
      </c>
      <c r="E7" s="8">
        <v>45</v>
      </c>
      <c r="F7" s="8"/>
      <c r="H7" s="9" t="s">
        <v>30</v>
      </c>
      <c r="I7" s="10">
        <f>SUMIF($C$4:$C$18,H7,$F$4:$F$18)</f>
        <v>0</v>
      </c>
    </row>
    <row r="8" spans="1:9" x14ac:dyDescent="0.25">
      <c r="A8" s="7">
        <v>5</v>
      </c>
      <c r="B8" s="7" t="s">
        <v>31</v>
      </c>
      <c r="C8" s="7" t="s">
        <v>26</v>
      </c>
      <c r="D8" s="7">
        <v>40</v>
      </c>
      <c r="E8" s="8">
        <v>120</v>
      </c>
      <c r="F8" s="8"/>
    </row>
    <row r="9" spans="1:9" x14ac:dyDescent="0.25">
      <c r="A9" s="7">
        <v>6</v>
      </c>
      <c r="B9" s="7" t="s">
        <v>32</v>
      </c>
      <c r="C9" s="7" t="s">
        <v>26</v>
      </c>
      <c r="D9" s="7">
        <v>15</v>
      </c>
      <c r="E9" s="8">
        <v>350</v>
      </c>
      <c r="F9" s="8"/>
    </row>
    <row r="10" spans="1:9" x14ac:dyDescent="0.25">
      <c r="A10" s="7">
        <v>7</v>
      </c>
      <c r="B10" s="7" t="s">
        <v>33</v>
      </c>
      <c r="C10" s="7" t="s">
        <v>28</v>
      </c>
      <c r="D10" s="7">
        <v>200</v>
      </c>
      <c r="E10" s="8">
        <v>4</v>
      </c>
      <c r="F10" s="8"/>
    </row>
    <row r="11" spans="1:9" x14ac:dyDescent="0.25">
      <c r="A11" s="7">
        <v>8</v>
      </c>
      <c r="B11" s="7" t="s">
        <v>34</v>
      </c>
      <c r="C11" s="7" t="s">
        <v>28</v>
      </c>
      <c r="D11" s="7">
        <v>150</v>
      </c>
      <c r="E11" s="8">
        <v>6.5</v>
      </c>
      <c r="F11" s="8"/>
    </row>
    <row r="12" spans="1:9" x14ac:dyDescent="0.25">
      <c r="A12" s="7">
        <v>9</v>
      </c>
      <c r="B12" s="7" t="s">
        <v>35</v>
      </c>
      <c r="C12" s="7" t="s">
        <v>28</v>
      </c>
      <c r="D12" s="7">
        <v>70</v>
      </c>
      <c r="E12" s="8">
        <v>28</v>
      </c>
      <c r="F12" s="8"/>
    </row>
    <row r="13" spans="1:9" x14ac:dyDescent="0.25">
      <c r="A13" s="7">
        <v>10</v>
      </c>
      <c r="B13" s="7" t="s">
        <v>36</v>
      </c>
      <c r="C13" s="7" t="s">
        <v>30</v>
      </c>
      <c r="D13" s="7">
        <v>35</v>
      </c>
      <c r="E13" s="8">
        <v>65</v>
      </c>
      <c r="F13" s="8"/>
    </row>
    <row r="14" spans="1:9" x14ac:dyDescent="0.25">
      <c r="A14" s="7">
        <v>11</v>
      </c>
      <c r="B14" s="7" t="s">
        <v>37</v>
      </c>
      <c r="C14" s="7" t="s">
        <v>30</v>
      </c>
      <c r="D14" s="7">
        <v>90</v>
      </c>
      <c r="E14" s="8">
        <v>22</v>
      </c>
      <c r="F14" s="8"/>
    </row>
    <row r="15" spans="1:9" x14ac:dyDescent="0.25">
      <c r="A15" s="7">
        <v>12</v>
      </c>
      <c r="B15" s="7" t="s">
        <v>38</v>
      </c>
      <c r="C15" s="7" t="s">
        <v>30</v>
      </c>
      <c r="D15" s="7">
        <v>20</v>
      </c>
      <c r="E15" s="8">
        <v>210</v>
      </c>
      <c r="F15" s="8"/>
    </row>
    <row r="16" spans="1:9" x14ac:dyDescent="0.25">
      <c r="A16" s="7">
        <v>13</v>
      </c>
      <c r="B16" s="7" t="s">
        <v>39</v>
      </c>
      <c r="C16" s="7" t="s">
        <v>24</v>
      </c>
      <c r="D16" s="7">
        <v>18</v>
      </c>
      <c r="E16" s="8">
        <v>890</v>
      </c>
      <c r="F16" s="8"/>
    </row>
    <row r="17" spans="1:8" x14ac:dyDescent="0.25">
      <c r="A17" s="7">
        <v>14</v>
      </c>
      <c r="B17" s="7" t="s">
        <v>40</v>
      </c>
      <c r="C17" s="7" t="s">
        <v>26</v>
      </c>
      <c r="D17" s="7">
        <v>22</v>
      </c>
      <c r="E17" s="8">
        <v>280</v>
      </c>
      <c r="F17" s="8"/>
    </row>
    <row r="18" spans="1:8" x14ac:dyDescent="0.25">
      <c r="A18" s="7">
        <v>15</v>
      </c>
      <c r="B18" s="7" t="s">
        <v>41</v>
      </c>
      <c r="C18" s="7" t="s">
        <v>28</v>
      </c>
      <c r="D18" s="7">
        <v>300</v>
      </c>
      <c r="E18" s="8">
        <v>8</v>
      </c>
      <c r="F18" s="8"/>
    </row>
    <row r="19" spans="1:8" x14ac:dyDescent="0.25">
      <c r="A19" s="18" t="s">
        <v>42</v>
      </c>
      <c r="B19" s="18"/>
      <c r="C19" s="18"/>
      <c r="D19" s="18"/>
      <c r="E19" s="18"/>
      <c r="F19" s="18"/>
    </row>
    <row r="21" spans="1:8" ht="19.5" customHeight="1" x14ac:dyDescent="0.25">
      <c r="A21" s="19" t="s">
        <v>43</v>
      </c>
      <c r="B21" s="19"/>
      <c r="C21" s="19"/>
      <c r="D21" s="19"/>
      <c r="E21" s="19"/>
      <c r="F21" s="19"/>
    </row>
    <row r="22" spans="1:8" x14ac:dyDescent="0.25">
      <c r="A22" s="1" t="s">
        <v>16</v>
      </c>
      <c r="B22" s="20" t="s">
        <v>44</v>
      </c>
      <c r="C22" s="20"/>
      <c r="D22" s="20"/>
      <c r="E22" s="20"/>
      <c r="F22" s="1" t="s">
        <v>45</v>
      </c>
    </row>
    <row r="23" spans="1:8" ht="30" customHeight="1" x14ac:dyDescent="0.25">
      <c r="A23" s="7">
        <v>1</v>
      </c>
      <c r="B23" s="21" t="s">
        <v>46</v>
      </c>
      <c r="C23" s="21"/>
      <c r="D23" s="21"/>
      <c r="E23" s="21"/>
      <c r="F23" s="15"/>
    </row>
    <row r="24" spans="1:8" ht="30" customHeight="1" x14ac:dyDescent="0.25">
      <c r="A24" s="7">
        <v>2</v>
      </c>
      <c r="B24" s="21" t="s">
        <v>47</v>
      </c>
      <c r="C24" s="21"/>
      <c r="D24" s="21"/>
      <c r="E24" s="21"/>
      <c r="F24" s="15"/>
    </row>
    <row r="25" spans="1:8" ht="30" customHeight="1" x14ac:dyDescent="0.25">
      <c r="A25" s="7">
        <v>3</v>
      </c>
      <c r="B25" s="21" t="s">
        <v>48</v>
      </c>
      <c r="C25" s="21"/>
      <c r="D25" s="21"/>
      <c r="E25" s="21"/>
      <c r="F25" s="11"/>
      <c r="H25" s="16"/>
    </row>
    <row r="26" spans="1:8" ht="30" customHeight="1" x14ac:dyDescent="0.25">
      <c r="A26" s="7">
        <v>4</v>
      </c>
      <c r="B26" s="21" t="s">
        <v>49</v>
      </c>
      <c r="C26" s="21"/>
      <c r="D26" s="21"/>
      <c r="E26" s="21"/>
      <c r="F26" s="8"/>
    </row>
    <row r="27" spans="1:8" ht="30" customHeight="1" x14ac:dyDescent="0.25">
      <c r="A27" s="7">
        <v>5</v>
      </c>
      <c r="B27" s="21" t="s">
        <v>50</v>
      </c>
      <c r="C27" s="21"/>
      <c r="D27" s="21"/>
      <c r="E27" s="21"/>
      <c r="F27" s="11"/>
    </row>
    <row r="28" spans="1:8" ht="30" customHeight="1" x14ac:dyDescent="0.25">
      <c r="A28" s="7">
        <v>6</v>
      </c>
      <c r="B28" s="21" t="s">
        <v>51</v>
      </c>
      <c r="C28" s="21"/>
      <c r="D28" s="21"/>
      <c r="E28" s="21"/>
      <c r="F28" s="11"/>
    </row>
    <row r="29" spans="1:8" ht="30" customHeight="1" x14ac:dyDescent="0.25">
      <c r="A29" s="7">
        <v>7</v>
      </c>
      <c r="B29" s="21" t="s">
        <v>52</v>
      </c>
      <c r="C29" s="21"/>
      <c r="D29" s="21"/>
      <c r="E29" s="21"/>
      <c r="F29" s="11"/>
    </row>
    <row r="30" spans="1:8" ht="30" customHeight="1" x14ac:dyDescent="0.25">
      <c r="A30" s="7">
        <v>8</v>
      </c>
      <c r="B30" s="21" t="s">
        <v>53</v>
      </c>
      <c r="C30" s="21"/>
      <c r="D30" s="21"/>
      <c r="E30" s="21"/>
      <c r="F30" s="11"/>
    </row>
  </sheetData>
  <mergeCells count="12">
    <mergeCell ref="B29:E29"/>
    <mergeCell ref="B30:E30"/>
    <mergeCell ref="B24:E24"/>
    <mergeCell ref="B25:E25"/>
    <mergeCell ref="B26:E26"/>
    <mergeCell ref="B27:E27"/>
    <mergeCell ref="B28:E28"/>
    <mergeCell ref="A1:F1"/>
    <mergeCell ref="A19:F19"/>
    <mergeCell ref="A21:F21"/>
    <mergeCell ref="B22:E22"/>
    <mergeCell ref="B23:E23"/>
  </mergeCells>
  <conditionalFormatting sqref="G10">
    <cfRule type="top10" dxfId="12" priority="2" rank="10"/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zoomScaleNormal="100" workbookViewId="0">
      <pane ySplit="3" topLeftCell="A4" activePane="bottomLeft" state="frozen"/>
      <selection pane="bottomLeft" activeCell="E18" sqref="E4:E18"/>
    </sheetView>
  </sheetViews>
  <sheetFormatPr defaultColWidth="8.7109375" defaultRowHeight="15" x14ac:dyDescent="0.25"/>
  <cols>
    <col min="1" max="1" width="6" customWidth="1"/>
    <col min="2" max="2" width="22" customWidth="1"/>
    <col min="3" max="3" width="18" customWidth="1"/>
    <col min="4" max="4" width="14" customWidth="1"/>
    <col min="5" max="5" width="12" customWidth="1"/>
    <col min="6" max="6" width="16" customWidth="1"/>
    <col min="8" max="8" width="18" customWidth="1"/>
    <col min="9" max="9" width="14" customWidth="1"/>
  </cols>
  <sheetData>
    <row r="1" spans="1:9" ht="25.5" customHeight="1" x14ac:dyDescent="0.25">
      <c r="A1" s="17" t="s">
        <v>54</v>
      </c>
      <c r="B1" s="17"/>
      <c r="C1" s="17"/>
      <c r="D1" s="17"/>
      <c r="E1" s="17"/>
      <c r="F1" s="17"/>
    </row>
    <row r="3" spans="1:9" ht="30" x14ac:dyDescent="0.25">
      <c r="A3" s="5" t="s">
        <v>16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H3" s="6" t="s">
        <v>56</v>
      </c>
      <c r="I3" s="6" t="s">
        <v>60</v>
      </c>
    </row>
    <row r="4" spans="1:9" x14ac:dyDescent="0.25">
      <c r="A4" s="7">
        <v>1</v>
      </c>
      <c r="B4" s="7" t="s">
        <v>61</v>
      </c>
      <c r="C4" s="7" t="s">
        <v>62</v>
      </c>
      <c r="D4" s="12">
        <v>6500</v>
      </c>
      <c r="E4" s="7">
        <v>4</v>
      </c>
      <c r="F4" s="7" t="s">
        <v>63</v>
      </c>
      <c r="H4" s="9" t="s">
        <v>62</v>
      </c>
      <c r="I4" s="9">
        <f>COUNTIF($C$4:$C$18,H4)</f>
        <v>4</v>
      </c>
    </row>
    <row r="5" spans="1:9" x14ac:dyDescent="0.25">
      <c r="A5" s="7">
        <v>2</v>
      </c>
      <c r="B5" s="7" t="s">
        <v>64</v>
      </c>
      <c r="C5" s="7" t="s">
        <v>65</v>
      </c>
      <c r="D5" s="12">
        <v>4200</v>
      </c>
      <c r="E5" s="7">
        <v>8</v>
      </c>
      <c r="F5" s="7" t="s">
        <v>66</v>
      </c>
      <c r="H5" s="9" t="s">
        <v>65</v>
      </c>
      <c r="I5" s="9">
        <f>COUNTIF($C$4:$C$18,H5)</f>
        <v>3</v>
      </c>
    </row>
    <row r="6" spans="1:9" x14ac:dyDescent="0.25">
      <c r="A6" s="7">
        <v>3</v>
      </c>
      <c r="B6" s="7" t="s">
        <v>67</v>
      </c>
      <c r="C6" s="7" t="s">
        <v>62</v>
      </c>
      <c r="D6" s="12">
        <v>7200</v>
      </c>
      <c r="E6" s="7">
        <v>2</v>
      </c>
      <c r="F6" s="7" t="s">
        <v>68</v>
      </c>
      <c r="H6" s="9" t="s">
        <v>69</v>
      </c>
      <c r="I6" s="9">
        <f>COUNTIF($C$4:$C$18,H6)</f>
        <v>3</v>
      </c>
    </row>
    <row r="7" spans="1:9" x14ac:dyDescent="0.25">
      <c r="A7" s="7">
        <v>4</v>
      </c>
      <c r="B7" s="7" t="s">
        <v>70</v>
      </c>
      <c r="C7" s="7" t="s">
        <v>69</v>
      </c>
      <c r="D7" s="12">
        <v>4800</v>
      </c>
      <c r="E7" s="7">
        <v>6</v>
      </c>
      <c r="F7" s="7" t="s">
        <v>71</v>
      </c>
      <c r="H7" s="9" t="s">
        <v>72</v>
      </c>
      <c r="I7" s="9">
        <f>COUNTIF($C$4:$C$18,H7)</f>
        <v>3</v>
      </c>
    </row>
    <row r="8" spans="1:9" x14ac:dyDescent="0.25">
      <c r="A8" s="7">
        <v>5</v>
      </c>
      <c r="B8" s="7" t="s">
        <v>73</v>
      </c>
      <c r="C8" s="7" t="s">
        <v>72</v>
      </c>
      <c r="D8" s="12">
        <v>5100</v>
      </c>
      <c r="E8" s="7">
        <v>11</v>
      </c>
      <c r="F8" s="7" t="s">
        <v>74</v>
      </c>
      <c r="H8" s="9" t="s">
        <v>75</v>
      </c>
      <c r="I8" s="9">
        <f>COUNTIF($C$4:$C$18,H8)</f>
        <v>2</v>
      </c>
    </row>
    <row r="9" spans="1:9" x14ac:dyDescent="0.25">
      <c r="A9" s="7">
        <v>6</v>
      </c>
      <c r="B9" s="7" t="s">
        <v>76</v>
      </c>
      <c r="C9" s="7" t="s">
        <v>75</v>
      </c>
      <c r="D9" s="12">
        <v>4600</v>
      </c>
      <c r="E9" s="7">
        <v>3</v>
      </c>
      <c r="F9" s="7" t="s">
        <v>77</v>
      </c>
    </row>
    <row r="10" spans="1:9" x14ac:dyDescent="0.25">
      <c r="A10" s="7">
        <v>7</v>
      </c>
      <c r="B10" s="7" t="s">
        <v>78</v>
      </c>
      <c r="C10" s="7" t="s">
        <v>65</v>
      </c>
      <c r="D10" s="12">
        <v>3900</v>
      </c>
      <c r="E10" s="7">
        <v>1</v>
      </c>
      <c r="F10" s="7" t="s">
        <v>79</v>
      </c>
    </row>
    <row r="11" spans="1:9" x14ac:dyDescent="0.25">
      <c r="A11" s="7">
        <v>8</v>
      </c>
      <c r="B11" s="7" t="s">
        <v>80</v>
      </c>
      <c r="C11" s="7" t="s">
        <v>62</v>
      </c>
      <c r="D11" s="12">
        <v>8100</v>
      </c>
      <c r="E11" s="7">
        <v>7</v>
      </c>
      <c r="F11" s="7" t="s">
        <v>81</v>
      </c>
    </row>
    <row r="12" spans="1:9" x14ac:dyDescent="0.25">
      <c r="A12" s="7">
        <v>9</v>
      </c>
      <c r="B12" s="7" t="s">
        <v>82</v>
      </c>
      <c r="C12" s="7" t="s">
        <v>69</v>
      </c>
      <c r="D12" s="12">
        <v>5300</v>
      </c>
      <c r="E12" s="7">
        <v>5</v>
      </c>
      <c r="F12" s="7" t="s">
        <v>83</v>
      </c>
    </row>
    <row r="13" spans="1:9" x14ac:dyDescent="0.25">
      <c r="A13" s="7">
        <v>10</v>
      </c>
      <c r="B13" s="7" t="s">
        <v>84</v>
      </c>
      <c r="C13" s="7" t="s">
        <v>72</v>
      </c>
      <c r="D13" s="12">
        <v>4700</v>
      </c>
      <c r="E13" s="7">
        <v>9</v>
      </c>
      <c r="F13" s="7" t="s">
        <v>85</v>
      </c>
    </row>
    <row r="14" spans="1:9" x14ac:dyDescent="0.25">
      <c r="A14" s="7">
        <v>11</v>
      </c>
      <c r="B14" s="7" t="s">
        <v>86</v>
      </c>
      <c r="C14" s="7" t="s">
        <v>75</v>
      </c>
      <c r="D14" s="12">
        <v>4300</v>
      </c>
      <c r="E14" s="7">
        <v>2</v>
      </c>
      <c r="F14" s="7" t="s">
        <v>87</v>
      </c>
    </row>
    <row r="15" spans="1:9" x14ac:dyDescent="0.25">
      <c r="A15" s="7">
        <v>12</v>
      </c>
      <c r="B15" s="7" t="s">
        <v>88</v>
      </c>
      <c r="C15" s="7" t="s">
        <v>65</v>
      </c>
      <c r="D15" s="12">
        <v>4100</v>
      </c>
      <c r="E15" s="7">
        <v>13</v>
      </c>
      <c r="F15" s="7" t="s">
        <v>89</v>
      </c>
    </row>
    <row r="16" spans="1:9" x14ac:dyDescent="0.25">
      <c r="A16" s="7">
        <v>13</v>
      </c>
      <c r="B16" s="7" t="s">
        <v>90</v>
      </c>
      <c r="C16" s="7" t="s">
        <v>62</v>
      </c>
      <c r="D16" s="12">
        <v>6900</v>
      </c>
      <c r="E16" s="7">
        <v>4</v>
      </c>
      <c r="F16" s="7" t="s">
        <v>91</v>
      </c>
    </row>
    <row r="17" spans="1:6" x14ac:dyDescent="0.25">
      <c r="A17" s="7">
        <v>14</v>
      </c>
      <c r="B17" s="7" t="s">
        <v>92</v>
      </c>
      <c r="C17" s="7" t="s">
        <v>69</v>
      </c>
      <c r="D17" s="12">
        <v>5000</v>
      </c>
      <c r="E17" s="7">
        <v>6</v>
      </c>
      <c r="F17" s="7" t="s">
        <v>93</v>
      </c>
    </row>
    <row r="18" spans="1:6" x14ac:dyDescent="0.25">
      <c r="A18" s="7">
        <v>15</v>
      </c>
      <c r="B18" s="7" t="s">
        <v>94</v>
      </c>
      <c r="C18" s="7" t="s">
        <v>72</v>
      </c>
      <c r="D18" s="12">
        <v>5500</v>
      </c>
      <c r="E18" s="7">
        <v>10</v>
      </c>
      <c r="F18" s="7" t="s">
        <v>95</v>
      </c>
    </row>
    <row r="21" spans="1:6" ht="19.5" customHeight="1" x14ac:dyDescent="0.25">
      <c r="A21" s="19" t="s">
        <v>96</v>
      </c>
      <c r="B21" s="19"/>
      <c r="C21" s="19"/>
      <c r="D21" s="19"/>
      <c r="E21" s="19"/>
      <c r="F21" s="19"/>
    </row>
    <row r="22" spans="1:6" x14ac:dyDescent="0.25">
      <c r="A22" s="1" t="s">
        <v>16</v>
      </c>
      <c r="B22" s="20" t="s">
        <v>44</v>
      </c>
      <c r="C22" s="20"/>
      <c r="D22" s="20"/>
      <c r="E22" s="20"/>
      <c r="F22" s="1" t="s">
        <v>45</v>
      </c>
    </row>
    <row r="23" spans="1:6" ht="30" customHeight="1" x14ac:dyDescent="0.25">
      <c r="A23" s="7">
        <v>1</v>
      </c>
      <c r="B23" s="21" t="s">
        <v>97</v>
      </c>
      <c r="C23" s="21"/>
      <c r="D23" s="21"/>
      <c r="E23" s="21"/>
      <c r="F23" s="11"/>
    </row>
    <row r="24" spans="1:6" ht="30" customHeight="1" x14ac:dyDescent="0.25">
      <c r="A24" s="7">
        <v>2</v>
      </c>
      <c r="B24" s="21" t="s">
        <v>98</v>
      </c>
      <c r="C24" s="21"/>
      <c r="D24" s="21"/>
      <c r="E24" s="21"/>
      <c r="F24" s="11"/>
    </row>
    <row r="25" spans="1:6" ht="30" customHeight="1" x14ac:dyDescent="0.25">
      <c r="A25" s="7">
        <v>3</v>
      </c>
      <c r="B25" s="21" t="s">
        <v>99</v>
      </c>
      <c r="C25" s="21"/>
      <c r="D25" s="21"/>
      <c r="E25" s="21"/>
      <c r="F25" s="11"/>
    </row>
    <row r="26" spans="1:6" ht="30" customHeight="1" x14ac:dyDescent="0.25">
      <c r="A26" s="7">
        <v>4</v>
      </c>
      <c r="B26" s="21" t="s">
        <v>100</v>
      </c>
      <c r="C26" s="21"/>
      <c r="D26" s="21"/>
      <c r="E26" s="21"/>
      <c r="F26" s="11"/>
    </row>
    <row r="27" spans="1:6" ht="30" customHeight="1" x14ac:dyDescent="0.25">
      <c r="A27" s="7">
        <v>5</v>
      </c>
      <c r="B27" s="21" t="s">
        <v>101</v>
      </c>
      <c r="C27" s="21"/>
      <c r="D27" s="21"/>
      <c r="E27" s="21"/>
      <c r="F27" s="11"/>
    </row>
    <row r="28" spans="1:6" ht="30" customHeight="1" x14ac:dyDescent="0.25">
      <c r="A28" s="7">
        <v>6</v>
      </c>
      <c r="B28" s="21" t="s">
        <v>102</v>
      </c>
      <c r="C28" s="21"/>
      <c r="D28" s="21"/>
      <c r="E28" s="21"/>
      <c r="F28" s="11"/>
    </row>
    <row r="29" spans="1:6" ht="30" customHeight="1" x14ac:dyDescent="0.25">
      <c r="A29" s="7">
        <v>7</v>
      </c>
      <c r="B29" s="21" t="s">
        <v>103</v>
      </c>
      <c r="C29" s="21"/>
      <c r="D29" s="21"/>
      <c r="E29" s="21"/>
      <c r="F29" s="11"/>
    </row>
    <row r="30" spans="1:6" ht="30" customHeight="1" x14ac:dyDescent="0.25">
      <c r="A30" s="7">
        <v>8</v>
      </c>
      <c r="B30" s="21" t="s">
        <v>104</v>
      </c>
      <c r="C30" s="21"/>
      <c r="D30" s="21"/>
      <c r="E30" s="21"/>
      <c r="F30" s="11"/>
    </row>
  </sheetData>
  <mergeCells count="11">
    <mergeCell ref="B30:E30"/>
    <mergeCell ref="B25:E25"/>
    <mergeCell ref="B26:E26"/>
    <mergeCell ref="B27:E27"/>
    <mergeCell ref="B28:E28"/>
    <mergeCell ref="B29:E29"/>
    <mergeCell ref="A1:F1"/>
    <mergeCell ref="A21:F21"/>
    <mergeCell ref="B22:E22"/>
    <mergeCell ref="B23:E23"/>
    <mergeCell ref="B24:E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zoomScaleNormal="100" workbookViewId="0">
      <pane ySplit="3" topLeftCell="A10" activePane="bottomLeft" state="frozen"/>
      <selection pane="bottomLeft" activeCell="E30" sqref="E30"/>
    </sheetView>
  </sheetViews>
  <sheetFormatPr defaultColWidth="8.7109375" defaultRowHeight="15" x14ac:dyDescent="0.25"/>
  <cols>
    <col min="1" max="1" width="6" customWidth="1"/>
    <col min="2" max="2" width="22" customWidth="1"/>
    <col min="3" max="3" width="18" customWidth="1"/>
    <col min="4" max="5" width="10" customWidth="1"/>
    <col min="7" max="8" width="16" customWidth="1"/>
  </cols>
  <sheetData>
    <row r="1" spans="1:8" ht="25.5" customHeight="1" x14ac:dyDescent="0.25">
      <c r="A1" s="17" t="s">
        <v>105</v>
      </c>
      <c r="B1" s="17"/>
      <c r="C1" s="17"/>
      <c r="D1" s="17"/>
      <c r="E1" s="17"/>
    </row>
    <row r="3" spans="1:8" x14ac:dyDescent="0.25">
      <c r="A3" s="5" t="s">
        <v>16</v>
      </c>
      <c r="B3" s="5" t="s">
        <v>106</v>
      </c>
      <c r="C3" s="5" t="s">
        <v>107</v>
      </c>
      <c r="D3" s="5" t="s">
        <v>108</v>
      </c>
      <c r="E3" s="5" t="s">
        <v>109</v>
      </c>
      <c r="G3" s="6" t="s">
        <v>107</v>
      </c>
      <c r="H3" s="6" t="s">
        <v>110</v>
      </c>
    </row>
    <row r="4" spans="1:8" x14ac:dyDescent="0.25">
      <c r="A4" s="7">
        <v>1</v>
      </c>
      <c r="B4" s="7" t="s">
        <v>111</v>
      </c>
      <c r="C4" s="7" t="s">
        <v>112</v>
      </c>
      <c r="D4" s="7">
        <v>9</v>
      </c>
      <c r="E4" s="7">
        <v>1</v>
      </c>
      <c r="G4" s="9" t="s">
        <v>112</v>
      </c>
      <c r="H4" s="13">
        <f>AVERAGEIF($C$4:$C$21,G4,$D$4:$D$21)</f>
        <v>7</v>
      </c>
    </row>
    <row r="5" spans="1:8" x14ac:dyDescent="0.25">
      <c r="A5" s="7">
        <v>2</v>
      </c>
      <c r="B5" s="7" t="s">
        <v>113</v>
      </c>
      <c r="C5" s="7" t="s">
        <v>114</v>
      </c>
      <c r="D5" s="7">
        <v>7</v>
      </c>
      <c r="E5" s="7">
        <v>0</v>
      </c>
      <c r="G5" s="9" t="s">
        <v>114</v>
      </c>
      <c r="H5" s="13">
        <f>AVERAGEIF($C$4:$C$21,G5,$D$4:$D$21)</f>
        <v>6.5</v>
      </c>
    </row>
    <row r="6" spans="1:8" x14ac:dyDescent="0.25">
      <c r="A6" s="7">
        <v>3</v>
      </c>
      <c r="B6" s="7" t="s">
        <v>115</v>
      </c>
      <c r="C6" s="7" t="s">
        <v>112</v>
      </c>
      <c r="D6" s="7">
        <v>4</v>
      </c>
      <c r="E6" s="7">
        <v>5</v>
      </c>
      <c r="G6" s="9" t="s">
        <v>116</v>
      </c>
      <c r="H6" s="13">
        <f>AVERAGEIF($C$4:$C$21,G6,$D$4:$D$21)</f>
        <v>9</v>
      </c>
    </row>
    <row r="7" spans="1:8" x14ac:dyDescent="0.25">
      <c r="A7" s="7">
        <v>4</v>
      </c>
      <c r="B7" s="7" t="s">
        <v>117</v>
      </c>
      <c r="C7" s="7" t="s">
        <v>116</v>
      </c>
      <c r="D7" s="7">
        <v>10</v>
      </c>
      <c r="E7" s="7">
        <v>0</v>
      </c>
      <c r="G7" s="9" t="s">
        <v>118</v>
      </c>
      <c r="H7" s="13">
        <f>AVERAGEIF($C$4:$C$21,G7,$D$4:$D$21)</f>
        <v>8.3333333333333339</v>
      </c>
    </row>
    <row r="8" spans="1:8" x14ac:dyDescent="0.25">
      <c r="A8" s="7">
        <v>5</v>
      </c>
      <c r="B8" s="7" t="s">
        <v>119</v>
      </c>
      <c r="C8" s="7" t="s">
        <v>118</v>
      </c>
      <c r="D8" s="7">
        <v>8</v>
      </c>
      <c r="E8" s="7">
        <v>2</v>
      </c>
      <c r="G8" s="9" t="s">
        <v>120</v>
      </c>
      <c r="H8" s="13">
        <f>AVERAGEIF($C$4:$C$21,G8,$D$4:$D$21)</f>
        <v>5.666666666666667</v>
      </c>
    </row>
    <row r="9" spans="1:8" x14ac:dyDescent="0.25">
      <c r="A9" s="7">
        <v>6</v>
      </c>
      <c r="B9" s="7" t="s">
        <v>121</v>
      </c>
      <c r="C9" s="7" t="s">
        <v>120</v>
      </c>
      <c r="D9" s="7">
        <v>6</v>
      </c>
      <c r="E9" s="7">
        <v>3</v>
      </c>
    </row>
    <row r="10" spans="1:8" x14ac:dyDescent="0.25">
      <c r="A10" s="7">
        <v>7</v>
      </c>
      <c r="B10" s="7" t="s">
        <v>122</v>
      </c>
      <c r="C10" s="7" t="s">
        <v>112</v>
      </c>
      <c r="D10" s="7">
        <v>5</v>
      </c>
      <c r="E10" s="7">
        <v>4</v>
      </c>
    </row>
    <row r="11" spans="1:8" x14ac:dyDescent="0.25">
      <c r="A11" s="7">
        <v>8</v>
      </c>
      <c r="B11" s="7" t="s">
        <v>123</v>
      </c>
      <c r="C11" s="7" t="s">
        <v>114</v>
      </c>
      <c r="D11" s="7">
        <v>9</v>
      </c>
      <c r="E11" s="7">
        <v>1</v>
      </c>
    </row>
    <row r="12" spans="1:8" x14ac:dyDescent="0.25">
      <c r="A12" s="7">
        <v>9</v>
      </c>
      <c r="B12" s="7" t="s">
        <v>124</v>
      </c>
      <c r="C12" s="7" t="s">
        <v>116</v>
      </c>
      <c r="D12" s="7">
        <v>8</v>
      </c>
      <c r="E12" s="7">
        <v>0</v>
      </c>
    </row>
    <row r="13" spans="1:8" x14ac:dyDescent="0.25">
      <c r="A13" s="7">
        <v>10</v>
      </c>
      <c r="B13" s="7" t="s">
        <v>125</v>
      </c>
      <c r="C13" s="7" t="s">
        <v>118</v>
      </c>
      <c r="D13" s="7">
        <v>10</v>
      </c>
      <c r="E13" s="7">
        <v>0</v>
      </c>
    </row>
    <row r="14" spans="1:8" x14ac:dyDescent="0.25">
      <c r="A14" s="7">
        <v>11</v>
      </c>
      <c r="B14" s="7" t="s">
        <v>126</v>
      </c>
      <c r="C14" s="7" t="s">
        <v>120</v>
      </c>
      <c r="D14" s="7">
        <v>3</v>
      </c>
      <c r="E14" s="7">
        <v>6</v>
      </c>
    </row>
    <row r="15" spans="1:8" x14ac:dyDescent="0.25">
      <c r="A15" s="7">
        <v>12</v>
      </c>
      <c r="B15" s="7" t="s">
        <v>127</v>
      </c>
      <c r="C15" s="7" t="s">
        <v>112</v>
      </c>
      <c r="D15" s="7">
        <v>7</v>
      </c>
      <c r="E15" s="7">
        <v>2</v>
      </c>
    </row>
    <row r="16" spans="1:8" x14ac:dyDescent="0.25">
      <c r="A16" s="7">
        <v>13</v>
      </c>
      <c r="B16" s="7" t="s">
        <v>128</v>
      </c>
      <c r="C16" s="7" t="s">
        <v>114</v>
      </c>
      <c r="D16" s="7">
        <v>6</v>
      </c>
      <c r="E16" s="7">
        <v>3</v>
      </c>
    </row>
    <row r="17" spans="1:5" x14ac:dyDescent="0.25">
      <c r="A17" s="7">
        <v>14</v>
      </c>
      <c r="B17" s="7" t="s">
        <v>129</v>
      </c>
      <c r="C17" s="7" t="s">
        <v>116</v>
      </c>
      <c r="D17" s="7">
        <v>9</v>
      </c>
      <c r="E17" s="7">
        <v>1</v>
      </c>
    </row>
    <row r="18" spans="1:5" x14ac:dyDescent="0.25">
      <c r="A18" s="7">
        <v>15</v>
      </c>
      <c r="B18" s="7" t="s">
        <v>130</v>
      </c>
      <c r="C18" s="7" t="s">
        <v>118</v>
      </c>
      <c r="D18" s="7">
        <v>7</v>
      </c>
      <c r="E18" s="7">
        <v>2</v>
      </c>
    </row>
    <row r="19" spans="1:5" x14ac:dyDescent="0.25">
      <c r="A19" s="7">
        <v>16</v>
      </c>
      <c r="B19" s="7" t="s">
        <v>131</v>
      </c>
      <c r="C19" s="7" t="s">
        <v>120</v>
      </c>
      <c r="D19" s="7">
        <v>8</v>
      </c>
      <c r="E19" s="7">
        <v>1</v>
      </c>
    </row>
    <row r="20" spans="1:5" x14ac:dyDescent="0.25">
      <c r="A20" s="7">
        <v>17</v>
      </c>
      <c r="B20" s="7" t="s">
        <v>132</v>
      </c>
      <c r="C20" s="7" t="s">
        <v>112</v>
      </c>
      <c r="D20" s="7">
        <v>10</v>
      </c>
      <c r="E20" s="7">
        <v>0</v>
      </c>
    </row>
    <row r="21" spans="1:5" x14ac:dyDescent="0.25">
      <c r="A21" s="7">
        <v>18</v>
      </c>
      <c r="B21" s="7" t="s">
        <v>133</v>
      </c>
      <c r="C21" s="7" t="s">
        <v>114</v>
      </c>
      <c r="D21" s="7">
        <v>4</v>
      </c>
      <c r="E21" s="7">
        <v>5</v>
      </c>
    </row>
    <row r="24" spans="1:5" ht="19.5" customHeight="1" x14ac:dyDescent="0.25">
      <c r="A24" s="19" t="s">
        <v>134</v>
      </c>
      <c r="B24" s="19"/>
      <c r="C24" s="19"/>
      <c r="D24" s="19"/>
      <c r="E24" s="19"/>
    </row>
    <row r="25" spans="1:5" x14ac:dyDescent="0.25">
      <c r="A25" s="1" t="s">
        <v>16</v>
      </c>
      <c r="B25" s="20" t="s">
        <v>44</v>
      </c>
      <c r="C25" s="20"/>
      <c r="D25" s="20"/>
      <c r="E25" s="1" t="s">
        <v>45</v>
      </c>
    </row>
    <row r="26" spans="1:5" ht="30" customHeight="1" x14ac:dyDescent="0.25">
      <c r="A26" s="7">
        <v>1</v>
      </c>
      <c r="B26" s="21" t="s">
        <v>135</v>
      </c>
      <c r="C26" s="21"/>
      <c r="D26" s="21"/>
      <c r="E26" s="11"/>
    </row>
    <row r="27" spans="1:5" ht="30" customHeight="1" x14ac:dyDescent="0.25">
      <c r="A27" s="7">
        <v>2</v>
      </c>
      <c r="B27" s="21" t="s">
        <v>136</v>
      </c>
      <c r="C27" s="21"/>
      <c r="D27" s="21"/>
      <c r="E27" s="11"/>
    </row>
    <row r="28" spans="1:5" ht="30" customHeight="1" x14ac:dyDescent="0.25">
      <c r="A28" s="7">
        <v>3</v>
      </c>
      <c r="B28" s="21" t="s">
        <v>137</v>
      </c>
      <c r="C28" s="21"/>
      <c r="D28" s="21"/>
      <c r="E28" s="11"/>
    </row>
    <row r="29" spans="1:5" ht="30" customHeight="1" x14ac:dyDescent="0.25">
      <c r="A29" s="7">
        <v>4</v>
      </c>
      <c r="B29" s="21" t="s">
        <v>138</v>
      </c>
      <c r="C29" s="21"/>
      <c r="D29" s="21"/>
      <c r="E29" s="11"/>
    </row>
    <row r="30" spans="1:5" ht="30" customHeight="1" x14ac:dyDescent="0.25">
      <c r="A30" s="7">
        <v>5</v>
      </c>
      <c r="B30" s="21" t="s">
        <v>139</v>
      </c>
      <c r="C30" s="21"/>
      <c r="D30" s="21"/>
      <c r="E30" s="11"/>
    </row>
    <row r="31" spans="1:5" ht="30" customHeight="1" x14ac:dyDescent="0.25">
      <c r="A31" s="7">
        <v>6</v>
      </c>
      <c r="B31" s="21" t="s">
        <v>140</v>
      </c>
      <c r="C31" s="21"/>
      <c r="D31" s="21"/>
      <c r="E31" s="11"/>
    </row>
    <row r="32" spans="1:5" ht="30" customHeight="1" x14ac:dyDescent="0.25">
      <c r="A32" s="7">
        <v>7</v>
      </c>
      <c r="B32" s="21" t="s">
        <v>141</v>
      </c>
      <c r="C32" s="21"/>
      <c r="D32" s="21"/>
      <c r="E32" s="11"/>
    </row>
    <row r="33" spans="1:5" ht="30" customHeight="1" x14ac:dyDescent="0.25">
      <c r="A33" s="7">
        <v>8</v>
      </c>
      <c r="B33" s="21" t="s">
        <v>142</v>
      </c>
      <c r="C33" s="21"/>
      <c r="D33" s="21"/>
      <c r="E33" s="11"/>
    </row>
  </sheetData>
  <mergeCells count="11">
    <mergeCell ref="B33:D33"/>
    <mergeCell ref="B28:D28"/>
    <mergeCell ref="B29:D29"/>
    <mergeCell ref="B30:D30"/>
    <mergeCell ref="B31:D31"/>
    <mergeCell ref="B32:D32"/>
    <mergeCell ref="A1:E1"/>
    <mergeCell ref="A24:E24"/>
    <mergeCell ref="B25:D25"/>
    <mergeCell ref="B26:D26"/>
    <mergeCell ref="B27:D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zoomScaleNormal="100" workbookViewId="0">
      <pane ySplit="3" topLeftCell="A4" activePane="bottomLeft" state="frozen"/>
      <selection pane="bottomLeft" activeCell="H20" sqref="H20"/>
    </sheetView>
  </sheetViews>
  <sheetFormatPr defaultColWidth="8.7109375" defaultRowHeight="15" x14ac:dyDescent="0.25"/>
  <cols>
    <col min="1" max="1" width="6" customWidth="1"/>
    <col min="2" max="2" width="14" customWidth="1"/>
    <col min="3" max="3" width="16" customWidth="1"/>
    <col min="4" max="4" width="24" customWidth="1"/>
    <col min="5" max="5" width="12" customWidth="1"/>
    <col min="6" max="6" width="14" customWidth="1"/>
    <col min="8" max="8" width="16" customWidth="1"/>
    <col min="9" max="9" width="14" customWidth="1"/>
  </cols>
  <sheetData>
    <row r="1" spans="1:9" ht="25.5" customHeight="1" x14ac:dyDescent="0.25">
      <c r="A1" s="17" t="s">
        <v>143</v>
      </c>
      <c r="B1" s="17"/>
      <c r="C1" s="17"/>
      <c r="D1" s="17"/>
      <c r="E1" s="17"/>
      <c r="F1" s="17"/>
    </row>
    <row r="3" spans="1:9" ht="30" x14ac:dyDescent="0.25">
      <c r="A3" s="5" t="s">
        <v>16</v>
      </c>
      <c r="B3" s="5" t="s">
        <v>144</v>
      </c>
      <c r="C3" s="5" t="s">
        <v>18</v>
      </c>
      <c r="D3" s="5" t="s">
        <v>145</v>
      </c>
      <c r="E3" s="5" t="s">
        <v>146</v>
      </c>
      <c r="F3" s="5" t="s">
        <v>147</v>
      </c>
      <c r="H3" s="6" t="s">
        <v>18</v>
      </c>
      <c r="I3" s="6" t="s">
        <v>22</v>
      </c>
    </row>
    <row r="4" spans="1:9" x14ac:dyDescent="0.25">
      <c r="A4" s="7">
        <v>1</v>
      </c>
      <c r="B4" s="7" t="s">
        <v>148</v>
      </c>
      <c r="C4" s="7" t="s">
        <v>28</v>
      </c>
      <c r="D4" s="7" t="s">
        <v>149</v>
      </c>
      <c r="E4" s="12">
        <v>185</v>
      </c>
      <c r="F4" s="7" t="s">
        <v>150</v>
      </c>
      <c r="H4" s="9" t="s">
        <v>28</v>
      </c>
      <c r="I4" s="14">
        <f>SUMIF($C$4:$C$18,H4,$E$4:$E$18)</f>
        <v>590</v>
      </c>
    </row>
    <row r="5" spans="1:9" x14ac:dyDescent="0.25">
      <c r="A5" s="7">
        <v>2</v>
      </c>
      <c r="B5" s="7" t="s">
        <v>151</v>
      </c>
      <c r="C5" s="7" t="s">
        <v>152</v>
      </c>
      <c r="D5" s="7" t="s">
        <v>153</v>
      </c>
      <c r="E5" s="12">
        <v>90</v>
      </c>
      <c r="F5" s="7" t="s">
        <v>154</v>
      </c>
      <c r="H5" s="9" t="s">
        <v>152</v>
      </c>
      <c r="I5" s="14">
        <f>SUMIF($C$4:$C$18,H5,$E$4:$E$18)</f>
        <v>360</v>
      </c>
    </row>
    <row r="6" spans="1:9" x14ac:dyDescent="0.25">
      <c r="A6" s="7">
        <v>3</v>
      </c>
      <c r="B6" s="7" t="s">
        <v>155</v>
      </c>
      <c r="C6" s="7" t="s">
        <v>156</v>
      </c>
      <c r="D6" s="7" t="s">
        <v>157</v>
      </c>
      <c r="E6" s="12">
        <v>320</v>
      </c>
      <c r="F6" s="7" t="s">
        <v>150</v>
      </c>
      <c r="H6" s="9" t="s">
        <v>156</v>
      </c>
      <c r="I6" s="14">
        <f>SUMIF($C$4:$C$18,H6,$E$4:$E$18)</f>
        <v>665</v>
      </c>
    </row>
    <row r="7" spans="1:9" x14ac:dyDescent="0.25">
      <c r="A7" s="7">
        <v>4</v>
      </c>
      <c r="B7" s="7" t="s">
        <v>158</v>
      </c>
      <c r="C7" s="7" t="s">
        <v>159</v>
      </c>
      <c r="D7" s="7" t="s">
        <v>160</v>
      </c>
      <c r="E7" s="12">
        <v>60</v>
      </c>
      <c r="F7" s="7" t="s">
        <v>150</v>
      </c>
      <c r="H7" s="9" t="s">
        <v>159</v>
      </c>
      <c r="I7" s="14">
        <f>SUMIF($C$4:$C$18,H7,$E$4:$E$18)</f>
        <v>255</v>
      </c>
    </row>
    <row r="8" spans="1:9" x14ac:dyDescent="0.25">
      <c r="A8" s="7">
        <v>5</v>
      </c>
      <c r="B8" s="7" t="s">
        <v>161</v>
      </c>
      <c r="C8" s="7" t="s">
        <v>28</v>
      </c>
      <c r="D8" s="7" t="s">
        <v>162</v>
      </c>
      <c r="E8" s="12">
        <v>75</v>
      </c>
      <c r="F8" s="7" t="s">
        <v>154</v>
      </c>
      <c r="H8" s="9" t="s">
        <v>163</v>
      </c>
      <c r="I8" s="14">
        <f>SUMIF($C$4:$C$18,H8,$E$4:$E$18)</f>
        <v>430</v>
      </c>
    </row>
    <row r="9" spans="1:9" x14ac:dyDescent="0.25">
      <c r="A9" s="7">
        <v>6</v>
      </c>
      <c r="B9" s="7" t="s">
        <v>164</v>
      </c>
      <c r="C9" s="7" t="s">
        <v>163</v>
      </c>
      <c r="D9" s="7" t="s">
        <v>165</v>
      </c>
      <c r="E9" s="12">
        <v>130</v>
      </c>
      <c r="F9" s="7" t="s">
        <v>150</v>
      </c>
    </row>
    <row r="10" spans="1:9" x14ac:dyDescent="0.25">
      <c r="A10" s="7">
        <v>7</v>
      </c>
      <c r="B10" s="7" t="s">
        <v>166</v>
      </c>
      <c r="C10" s="7" t="s">
        <v>156</v>
      </c>
      <c r="D10" s="7" t="s">
        <v>167</v>
      </c>
      <c r="E10" s="12">
        <v>65</v>
      </c>
      <c r="F10" s="7" t="s">
        <v>150</v>
      </c>
    </row>
    <row r="11" spans="1:9" x14ac:dyDescent="0.25">
      <c r="A11" s="7">
        <v>8</v>
      </c>
      <c r="B11" s="7" t="s">
        <v>168</v>
      </c>
      <c r="C11" s="7" t="s">
        <v>152</v>
      </c>
      <c r="D11" s="7" t="s">
        <v>169</v>
      </c>
      <c r="E11" s="12">
        <v>250</v>
      </c>
      <c r="F11" s="7" t="s">
        <v>150</v>
      </c>
    </row>
    <row r="12" spans="1:9" x14ac:dyDescent="0.25">
      <c r="A12" s="7">
        <v>9</v>
      </c>
      <c r="B12" s="7" t="s">
        <v>170</v>
      </c>
      <c r="C12" s="7" t="s">
        <v>159</v>
      </c>
      <c r="D12" s="7" t="s">
        <v>171</v>
      </c>
      <c r="E12" s="12">
        <v>45</v>
      </c>
      <c r="F12" s="7" t="s">
        <v>150</v>
      </c>
    </row>
    <row r="13" spans="1:9" x14ac:dyDescent="0.25">
      <c r="A13" s="7">
        <v>10</v>
      </c>
      <c r="B13" s="7" t="s">
        <v>172</v>
      </c>
      <c r="C13" s="7" t="s">
        <v>28</v>
      </c>
      <c r="D13" s="7" t="s">
        <v>173</v>
      </c>
      <c r="E13" s="12">
        <v>210</v>
      </c>
      <c r="F13" s="7" t="s">
        <v>150</v>
      </c>
    </row>
    <row r="14" spans="1:9" x14ac:dyDescent="0.25">
      <c r="A14" s="7">
        <v>11</v>
      </c>
      <c r="B14" s="7" t="s">
        <v>174</v>
      </c>
      <c r="C14" s="7" t="s">
        <v>163</v>
      </c>
      <c r="D14" s="7" t="s">
        <v>175</v>
      </c>
      <c r="E14" s="12">
        <v>300</v>
      </c>
      <c r="F14" s="7" t="s">
        <v>154</v>
      </c>
    </row>
    <row r="15" spans="1:9" x14ac:dyDescent="0.25">
      <c r="A15" s="7">
        <v>12</v>
      </c>
      <c r="B15" s="7" t="s">
        <v>176</v>
      </c>
      <c r="C15" s="7" t="s">
        <v>152</v>
      </c>
      <c r="D15" s="7" t="s">
        <v>177</v>
      </c>
      <c r="E15" s="12">
        <v>20</v>
      </c>
      <c r="F15" s="7" t="s">
        <v>154</v>
      </c>
    </row>
    <row r="16" spans="1:9" x14ac:dyDescent="0.25">
      <c r="A16" s="7">
        <v>13</v>
      </c>
      <c r="B16" s="7" t="s">
        <v>178</v>
      </c>
      <c r="C16" s="7" t="s">
        <v>156</v>
      </c>
      <c r="D16" s="7" t="s">
        <v>179</v>
      </c>
      <c r="E16" s="12">
        <v>280</v>
      </c>
      <c r="F16" s="7" t="s">
        <v>150</v>
      </c>
    </row>
    <row r="17" spans="1:6" x14ac:dyDescent="0.25">
      <c r="A17" s="7">
        <v>14</v>
      </c>
      <c r="B17" s="7" t="s">
        <v>180</v>
      </c>
      <c r="C17" s="7" t="s">
        <v>159</v>
      </c>
      <c r="D17" s="7" t="s">
        <v>181</v>
      </c>
      <c r="E17" s="12">
        <v>150</v>
      </c>
      <c r="F17" s="7" t="s">
        <v>150</v>
      </c>
    </row>
    <row r="18" spans="1:6" x14ac:dyDescent="0.25">
      <c r="A18" s="7">
        <v>15</v>
      </c>
      <c r="B18" s="7" t="s">
        <v>182</v>
      </c>
      <c r="C18" s="7" t="s">
        <v>28</v>
      </c>
      <c r="D18" s="7" t="s">
        <v>183</v>
      </c>
      <c r="E18" s="12">
        <v>120</v>
      </c>
      <c r="F18" s="7" t="s">
        <v>150</v>
      </c>
    </row>
    <row r="21" spans="1:6" ht="19.5" customHeight="1" x14ac:dyDescent="0.25">
      <c r="A21" s="19" t="s">
        <v>184</v>
      </c>
      <c r="B21" s="19"/>
      <c r="C21" s="19"/>
      <c r="D21" s="19"/>
      <c r="E21" s="19"/>
      <c r="F21" s="19"/>
    </row>
    <row r="22" spans="1:6" x14ac:dyDescent="0.25">
      <c r="A22" s="1" t="s">
        <v>16</v>
      </c>
      <c r="B22" s="20" t="s">
        <v>44</v>
      </c>
      <c r="C22" s="20"/>
      <c r="D22" s="20"/>
      <c r="E22" s="20"/>
      <c r="F22" s="1" t="s">
        <v>45</v>
      </c>
    </row>
    <row r="23" spans="1:6" ht="30" customHeight="1" x14ac:dyDescent="0.25">
      <c r="A23" s="7">
        <v>1</v>
      </c>
      <c r="B23" s="21" t="s">
        <v>185</v>
      </c>
      <c r="C23" s="21"/>
      <c r="D23" s="21"/>
      <c r="E23" s="21"/>
      <c r="F23" s="11"/>
    </row>
    <row r="24" spans="1:6" ht="30" customHeight="1" x14ac:dyDescent="0.25">
      <c r="A24" s="7">
        <v>2</v>
      </c>
      <c r="B24" s="21" t="s">
        <v>186</v>
      </c>
      <c r="C24" s="21"/>
      <c r="D24" s="21"/>
      <c r="E24" s="21"/>
      <c r="F24" s="11"/>
    </row>
    <row r="25" spans="1:6" ht="30" customHeight="1" x14ac:dyDescent="0.25">
      <c r="A25" s="7">
        <v>3</v>
      </c>
      <c r="B25" s="21" t="s">
        <v>187</v>
      </c>
      <c r="C25" s="21"/>
      <c r="D25" s="21"/>
      <c r="E25" s="21"/>
      <c r="F25" s="11"/>
    </row>
    <row r="26" spans="1:6" ht="30" customHeight="1" x14ac:dyDescent="0.25">
      <c r="A26" s="7">
        <v>4</v>
      </c>
      <c r="B26" s="21" t="s">
        <v>188</v>
      </c>
      <c r="C26" s="21"/>
      <c r="D26" s="21"/>
      <c r="E26" s="21"/>
      <c r="F26" s="11"/>
    </row>
    <row r="27" spans="1:6" ht="30" customHeight="1" x14ac:dyDescent="0.25">
      <c r="A27" s="7">
        <v>5</v>
      </c>
      <c r="B27" s="21" t="s">
        <v>189</v>
      </c>
      <c r="C27" s="21"/>
      <c r="D27" s="21"/>
      <c r="E27" s="21"/>
      <c r="F27" s="11"/>
    </row>
    <row r="28" spans="1:6" ht="30" customHeight="1" x14ac:dyDescent="0.25">
      <c r="A28" s="7">
        <v>6</v>
      </c>
      <c r="B28" s="21" t="s">
        <v>190</v>
      </c>
      <c r="C28" s="21"/>
      <c r="D28" s="21"/>
      <c r="E28" s="21"/>
      <c r="F28" s="11"/>
    </row>
    <row r="29" spans="1:6" ht="30" customHeight="1" x14ac:dyDescent="0.25">
      <c r="A29" s="7">
        <v>7</v>
      </c>
      <c r="B29" s="21" t="s">
        <v>191</v>
      </c>
      <c r="C29" s="21"/>
      <c r="D29" s="21"/>
      <c r="E29" s="21"/>
      <c r="F29" s="11"/>
    </row>
    <row r="30" spans="1:6" ht="30" customHeight="1" x14ac:dyDescent="0.25">
      <c r="A30" s="7">
        <v>8</v>
      </c>
      <c r="B30" s="21" t="s">
        <v>192</v>
      </c>
      <c r="C30" s="21"/>
      <c r="D30" s="21"/>
      <c r="E30" s="21"/>
      <c r="F30" s="11"/>
    </row>
  </sheetData>
  <mergeCells count="11">
    <mergeCell ref="B30:E30"/>
    <mergeCell ref="B25:E25"/>
    <mergeCell ref="B26:E26"/>
    <mergeCell ref="B27:E27"/>
    <mergeCell ref="B28:E28"/>
    <mergeCell ref="B29:E29"/>
    <mergeCell ref="A1:F1"/>
    <mergeCell ref="A21:F21"/>
    <mergeCell ref="B22:E22"/>
    <mergeCell ref="B23:E23"/>
    <mergeCell ref="B24:E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Instructiuni</vt:lpstr>
      <vt:lpstr>Vanzari Produse</vt:lpstr>
      <vt:lpstr>Angajati</vt:lpstr>
      <vt:lpstr>Note Elevi</vt:lpstr>
      <vt:lpstr>Cheltuieli Lunare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Melisa Mustafa</cp:lastModifiedBy>
  <cp:revision>1</cp:revision>
  <dcterms:created xsi:type="dcterms:W3CDTF">2026-09-22T06:13:45Z</dcterms:created>
  <dcterms:modified xsi:type="dcterms:W3CDTF">2026-09-23T05:48:55Z</dcterms:modified>
  <dc:language>en-US</dc:language>
</cp:coreProperties>
</file>