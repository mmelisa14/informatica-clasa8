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elisa\Downloads\"/>
    </mc:Choice>
  </mc:AlternateContent>
  <xr:revisionPtr revIDLastSave="0" documentId="13_ncr:1_{8423919A-3934-45C5-80E0-442E55B71E6C}" xr6:coauthVersionLast="47" xr6:coauthVersionMax="47" xr10:uidLastSave="{00000000-0000-0000-0000-000000000000}"/>
  <bookViews>
    <workbookView xWindow="-105" yWindow="0" windowWidth="14610" windowHeight="15585" tabRatio="500" activeTab="1" xr2:uid="{00000000-000D-0000-FFFF-FFFF00000000}"/>
  </bookViews>
  <sheets>
    <sheet name="Vanzari Produse" sheetId="1" r:id="rId1"/>
    <sheet name="Angajati" sheetId="2" r:id="rId2"/>
    <sheet name="Note Elevi" sheetId="3" r:id="rId3"/>
    <sheet name="Cheltuieli Lunare" sheetId="4" r:id="rId4"/>
    <sheet name="Pivot Table" sheetId="5" r:id="rId5"/>
  </sheets>
  <definedNames>
    <definedName name="_xlnm._FilterDatabase" localSheetId="0" hidden="1">'Vanzari Produse'!$A$3:$I$23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9" i="1" l="1"/>
  <c r="I19" i="1"/>
  <c r="I18" i="1"/>
  <c r="I22" i="1"/>
  <c r="I17" i="1"/>
  <c r="I6" i="1"/>
  <c r="I14" i="1"/>
  <c r="I15" i="1"/>
  <c r="I12" i="1"/>
  <c r="I20" i="1"/>
  <c r="I8" i="1"/>
  <c r="I11" i="1"/>
  <c r="I16" i="1"/>
  <c r="I13" i="1"/>
  <c r="I23" i="1"/>
  <c r="I5" i="1"/>
  <c r="I21" i="1"/>
  <c r="I4" i="1"/>
  <c r="I7" i="1"/>
  <c r="I10" i="1"/>
</calcChain>
</file>

<file path=xl/sharedStrings.xml><?xml version="1.0" encoding="utf-8"?>
<sst xmlns="http://schemas.openxmlformats.org/spreadsheetml/2006/main" count="515" uniqueCount="231">
  <si>
    <t>TABEL VANZARI PRODUSE</t>
  </si>
  <si>
    <t>Celulele galbene = de completat de elevi. Rezolvati cerintele de sub tabel.</t>
  </si>
  <si>
    <t>Nr.</t>
  </si>
  <si>
    <t>Data</t>
  </si>
  <si>
    <t>Produs</t>
  </si>
  <si>
    <t>Categorie</t>
  </si>
  <si>
    <t>Regiune</t>
  </si>
  <si>
    <t>Cantitate</t>
  </si>
  <si>
    <t>Pret unitar (RON)</t>
  </si>
  <si>
    <t>Discount</t>
  </si>
  <si>
    <t>Total (RON)</t>
  </si>
  <si>
    <t>Birou</t>
  </si>
  <si>
    <t>Mobila</t>
  </si>
  <si>
    <t>Vest</t>
  </si>
  <si>
    <t>Telefon</t>
  </si>
  <si>
    <t>Electronice</t>
  </si>
  <si>
    <t>Nord</t>
  </si>
  <si>
    <t>Laptop</t>
  </si>
  <si>
    <t>Sud</t>
  </si>
  <si>
    <t>Lampa</t>
  </si>
  <si>
    <t>Scaun birou</t>
  </si>
  <si>
    <t>Caiet</t>
  </si>
  <si>
    <t>Papetarie</t>
  </si>
  <si>
    <t>Est</t>
  </si>
  <si>
    <t>Monitor</t>
  </si>
  <si>
    <t>Set pixuri</t>
  </si>
  <si>
    <t>CERINTE / EXERCITII - Vanzari Produse</t>
  </si>
  <si>
    <t>Cerinta</t>
  </si>
  <si>
    <t>Raspuns</t>
  </si>
  <si>
    <t>Calculati valoarea totala a vanzarilor (functia SUM).</t>
  </si>
  <si>
    <t>Calculati valoarea medie a unei vanzari (functia AVERAGE).</t>
  </si>
  <si>
    <t>Aflati cantitatea maxima vanduta intr-o singura comanda (functia MAX).</t>
  </si>
  <si>
    <t>Aflati cel mai mic pret unitar din tabel (functia MIN).</t>
  </si>
  <si>
    <t>Numarati cate vanzari sunt din regiunea 'Nord' (functia COUNTIF).</t>
  </si>
  <si>
    <t>Calculati totalul vanzarilor din categoria 'Electronice' (functia SUMIF).</t>
  </si>
  <si>
    <t>Calculati valoarea medie a vanzarilor din regiunea 'Sud' (functia AVERAGEIF).</t>
  </si>
  <si>
    <t>Numarati vanzarile din categoria 'Mobila' cu cantitate mai mare de 5 (functia COUNTIFS).</t>
  </si>
  <si>
    <t>Calculati totalul vanzarilor din regiunea 'Est' pentru categoria 'Electronice' (functia SUMIFS).</t>
  </si>
  <si>
    <t>Calculati discountul mediu acordat, rotunjit la 2 zecimale (functiile ROUND si AVERAGE).</t>
  </si>
  <si>
    <t>Colorati cu rosu vanzarile din coloana Total mai mari de 10.000 RON (Formatare conditionata - Highlight Cells Rules).</t>
  </si>
  <si>
    <t>Sortati tabelul descrescator dupa Total, apoi afisati cu un filtru doar regiunea 'Vest' (Sort &amp; Filter - Filter).</t>
  </si>
  <si>
    <t>TABEL ANGAJATI - EVIDENTA PERSONAL</t>
  </si>
  <si>
    <t>Nume angajat</t>
  </si>
  <si>
    <t>Departament</t>
  </si>
  <si>
    <t>Functie</t>
  </si>
  <si>
    <t>Data angajarii</t>
  </si>
  <si>
    <t>Salariu brut (RON)</t>
  </si>
  <si>
    <t>Ore suplimentare</t>
  </si>
  <si>
    <t>Oras</t>
  </si>
  <si>
    <t>Bonus (RON)</t>
  </si>
  <si>
    <t>Popescu Andrei</t>
  </si>
  <si>
    <t>IT</t>
  </si>
  <si>
    <t>Programator</t>
  </si>
  <si>
    <t>Bucuresti</t>
  </si>
  <si>
    <t>Ionescu Maria</t>
  </si>
  <si>
    <t>HR</t>
  </si>
  <si>
    <t>Specialist HR</t>
  </si>
  <si>
    <t>Constanta</t>
  </si>
  <si>
    <t>Georgescu Vlad</t>
  </si>
  <si>
    <t>Vanzari</t>
  </si>
  <si>
    <t>Agent vanzari</t>
  </si>
  <si>
    <t>Cluj</t>
  </si>
  <si>
    <t>Dumitru Elena</t>
  </si>
  <si>
    <t>Contabilitate</t>
  </si>
  <si>
    <t>Contabil</t>
  </si>
  <si>
    <t>Iasi</t>
  </si>
  <si>
    <t>Stan Radu</t>
  </si>
  <si>
    <t>Administrator retea</t>
  </si>
  <si>
    <t>Timisoara</t>
  </si>
  <si>
    <t>Marin Ioana</t>
  </si>
  <si>
    <t>Marketing</t>
  </si>
  <si>
    <t>Specialist marketing</t>
  </si>
  <si>
    <t>Popa Cristian</t>
  </si>
  <si>
    <t>Manager vanzari</t>
  </si>
  <si>
    <t>Radu Simona</t>
  </si>
  <si>
    <t>Manager HR</t>
  </si>
  <si>
    <t>Toma Bogdan</t>
  </si>
  <si>
    <t>Tester software</t>
  </si>
  <si>
    <t>Neagu Laura</t>
  </si>
  <si>
    <t>Contabil sef</t>
  </si>
  <si>
    <t>Stoica Mihai</t>
  </si>
  <si>
    <t>Designer</t>
  </si>
  <si>
    <t>Barbu Daniela</t>
  </si>
  <si>
    <t>Sava Adrian</t>
  </si>
  <si>
    <t>Cretu Alina</t>
  </si>
  <si>
    <t>Manager marketing</t>
  </si>
  <si>
    <t>Lungu Florin</t>
  </si>
  <si>
    <t>Asistent contabil</t>
  </si>
  <si>
    <t>Ene Roxana</t>
  </si>
  <si>
    <t>Recrutor</t>
  </si>
  <si>
    <t>Diaconu Tudor</t>
  </si>
  <si>
    <t>Matei Carmen</t>
  </si>
  <si>
    <t>Analist date</t>
  </si>
  <si>
    <t>CERINTE / EXERCITII - Angajati</t>
  </si>
  <si>
    <t>Calculati suma tuturor salariilor brute (functia SUM).</t>
  </si>
  <si>
    <t>Calculati salariul mediu din firma (functia AVERAGE).</t>
  </si>
  <si>
    <t>Aflati cel mai mare salariu (functia MAX).</t>
  </si>
  <si>
    <t>Aflati cel mai mic salariu (functia MIN).</t>
  </si>
  <si>
    <t>Numarati cati angajati lucreaza in departamentul 'IT' (functia COUNTIF).</t>
  </si>
  <si>
    <t>Calculati salariul mediu din departamentul 'Vanzari' (functia AVERAGEIF).</t>
  </si>
  <si>
    <t>Calculati totalul orelor suplimentare din departamentul 'HR' (functia SUMIF).</t>
  </si>
  <si>
    <t>Numarati angajatii din 'IT' cu salariul peste 6000 (functia COUNTIFS).</t>
  </si>
  <si>
    <t>Numarati angajatii angajati inainte de 1 ianuarie 2020 (functiile COUNTIF si DATE).</t>
  </si>
  <si>
    <t>In coloana I (Bonus) calculati 10% din salariu pentru cei cu peste 10 ore suplimentare, altfel 0 (functia IF). Scrieti ca raspuns suma bonusurilor (functia SUM).</t>
  </si>
  <si>
    <t>Afisati numele primului angajat cu litere mari (functia UPPER).</t>
  </si>
  <si>
    <t>Adaugati o lista derulanta (validare de date) pe coloana Departament cu valorile: IT, HR, Vanzari, Contabilitate, Marketing (Data Validation).</t>
  </si>
  <si>
    <t>Filtrati angajatii din departamentul 'IT' si sortati-i descrescator dupa salariu (Sort &amp; Filter).</t>
  </si>
  <si>
    <t>Formatati Salariul brut ca moneda RON cu separator de mii, Data angajarii ca zz.ll.aaaa si inghetati primul rand al tabelului (Format Cells, Freeze Panes).</t>
  </si>
  <si>
    <t>TABEL NOTE ELEVI - CATALOG CLASA</t>
  </si>
  <si>
    <t>Nume elev</t>
  </si>
  <si>
    <t>Clasa</t>
  </si>
  <si>
    <t>Materie</t>
  </si>
  <si>
    <t>Nota Sem. I</t>
  </si>
  <si>
    <t>Nota Sem. II</t>
  </si>
  <si>
    <t>Absente</t>
  </si>
  <si>
    <t>Media anuala</t>
  </si>
  <si>
    <t>Andrei Popa</t>
  </si>
  <si>
    <t>9A</t>
  </si>
  <si>
    <t>Matematica</t>
  </si>
  <si>
    <t>Bianca Ilie</t>
  </si>
  <si>
    <t>Romana</t>
  </si>
  <si>
    <t>Cristian Vlad</t>
  </si>
  <si>
    <t>9B</t>
  </si>
  <si>
    <t>Diana Toma</t>
  </si>
  <si>
    <t>Engleza</t>
  </si>
  <si>
    <t>Emil Radu</t>
  </si>
  <si>
    <t>10A</t>
  </si>
  <si>
    <t>Informatica</t>
  </si>
  <si>
    <t>Florina Dobre</t>
  </si>
  <si>
    <t>Fizica</t>
  </si>
  <si>
    <t>Gabriel Stoica</t>
  </si>
  <si>
    <t>Horia Marin</t>
  </si>
  <si>
    <t>Ioana Cretu</t>
  </si>
  <si>
    <t>Iulia Neagu</t>
  </si>
  <si>
    <t>10B</t>
  </si>
  <si>
    <t>Lucian Barbu</t>
  </si>
  <si>
    <t>Mihaela Sava</t>
  </si>
  <si>
    <t>Nicolae Pop</t>
  </si>
  <si>
    <t>Oana Ilie</t>
  </si>
  <si>
    <t>Paul Georgescu</t>
  </si>
  <si>
    <t>Raluca Dumitru</t>
  </si>
  <si>
    <t>Sergiu Nistor</t>
  </si>
  <si>
    <t>Teodora Rusu</t>
  </si>
  <si>
    <t>CERINTE / EXERCITII - Note Elevi</t>
  </si>
  <si>
    <t>Calculati media generala a notelor din Semestrul I (functia AVERAGE).</t>
  </si>
  <si>
    <t>Calculati suma tuturor absentelor (functia SUM).</t>
  </si>
  <si>
    <t>Numarati cati elevi au nota peste 8 (inclusiv) in Semestrul II (functia COUNTIF).</t>
  </si>
  <si>
    <t>Calculati media notelor din Semestrul II la 'Matematica' (functia AVERAGEIF).</t>
  </si>
  <si>
    <t>Numarati elevii corigenti in Semestrul II, adica cei cu nota sub 5 (functia COUNTIF).</t>
  </si>
  <si>
    <t>Calculati suma notelor din Semestrul I obtinute la 'Engleza' (functia SUMIF).</t>
  </si>
  <si>
    <t>Numarati elevii din clasa '9A' cu nota peste 8 (inclusiv) in Semestrul II (functia COUNTIFS).</t>
  </si>
  <si>
    <t>In coloana H calculati media anuala = media dintre cele doua semestre (functia AVERAGE). Scrieti ca raspuns cea mai mare medie anuala (functia MAX).</t>
  </si>
  <si>
    <t>Numarati elevii care au nota mai mare in Semestrul II decat in Semestrul I (functia SUMPRODUCT).</t>
  </si>
  <si>
    <t>Aflati locul primului elev in clasament dupa nota din Semestrul II (functia RANK).</t>
  </si>
  <si>
    <t>Formatare conditionata: colorati cu rosu notele sub 5 si cu verde notele de 9 sau 10 din coloanele de note.</t>
  </si>
  <si>
    <t>Creati un grafic de tip COLOANE care sa arate media notelor din Semestrul II pentru fiecare materie (Insert - Chart).</t>
  </si>
  <si>
    <t>TABEL CHELTUIELI LUNARE - BUGET PERSONAL</t>
  </si>
  <si>
    <t>Descriere</t>
  </si>
  <si>
    <t>Suma (RON)</t>
  </si>
  <si>
    <t>Metoda plata</t>
  </si>
  <si>
    <t>Esential</t>
  </si>
  <si>
    <t>Alimente</t>
  </si>
  <si>
    <t>Cumparaturi supermarket</t>
  </si>
  <si>
    <t>Card</t>
  </si>
  <si>
    <t>Da</t>
  </si>
  <si>
    <t>Utilitati</t>
  </si>
  <si>
    <t>Factura curent</t>
  </si>
  <si>
    <t>Transport</t>
  </si>
  <si>
    <t>Abonament autobuz</t>
  </si>
  <si>
    <t>Cash</t>
  </si>
  <si>
    <t>Distractie</t>
  </si>
  <si>
    <t>Cinema</t>
  </si>
  <si>
    <t>Nu</t>
  </si>
  <si>
    <t>Chirie</t>
  </si>
  <si>
    <t>Chirie luna ianuarie</t>
  </si>
  <si>
    <t>Piata</t>
  </si>
  <si>
    <t>Sanatate</t>
  </si>
  <si>
    <t>Medicamente</t>
  </si>
  <si>
    <t>Imbracaminte</t>
  </si>
  <si>
    <t>Geaca de iarna</t>
  </si>
  <si>
    <t>Internet si TV</t>
  </si>
  <si>
    <t>Combustibil</t>
  </si>
  <si>
    <t>Restaurant</t>
  </si>
  <si>
    <t>Chirie luna februarie</t>
  </si>
  <si>
    <t>Consultatie</t>
  </si>
  <si>
    <t>Factura gaze</t>
  </si>
  <si>
    <t>Reparatie masina</t>
  </si>
  <si>
    <t>Chirie luna martie</t>
  </si>
  <si>
    <t>Abonament sala</t>
  </si>
  <si>
    <t>Pantofi</t>
  </si>
  <si>
    <t>CERINTE / EXERCITII - Cheltuieli Lunare</t>
  </si>
  <si>
    <t>Calculati totalul cheltuielilor (functia SUM).</t>
  </si>
  <si>
    <t>Calculati media unei cheltuieli (functia AVERAGE).</t>
  </si>
  <si>
    <t>Aflati cea mai mare cheltuiala (functia MAX).</t>
  </si>
  <si>
    <t>Numarati cate plati s-au facut cu cardul (functia COUNTIF).</t>
  </si>
  <si>
    <t>Calculati suma cheltuita la categoria 'Alimente' (functia SUMIF).</t>
  </si>
  <si>
    <t>Calculati media cheltuielilor din categoria 'Transport' (functia AVERAGEIF).</t>
  </si>
  <si>
    <t>Calculati suma cheltuielilor esentiale ('Da') platite cu cardul (functia SUMIFS).</t>
  </si>
  <si>
    <t>Numarati cheltuielile facute in luna februarie 2026 (functiile COUNTIFS si DATE).</t>
  </si>
  <si>
    <t>Numarati cate cheltuieli depasesc media cheltuielilor (functiile COUNTIF si AVERAGE).</t>
  </si>
  <si>
    <t>Calculati ce procent din total reprezinta cheltuielile cu 'Chirie' si formatati rezultatul ca procent (functiile SUMIF si SUM).</t>
  </si>
  <si>
    <t>Aflati numarul lunii pentru prima cheltuiala (functia MONTH).</t>
  </si>
  <si>
    <t>Formatati coloana Suma ca moneda RON cu 2 zecimale si coloana Data ca zz.ll.aaaa (Format Cells).</t>
  </si>
  <si>
    <t>Filtrati cheltuielile neesentiale (Esential = 'Nu') cu suma peste 100 RON (Filter - Number Filters).</t>
  </si>
  <si>
    <t>Creati un grafic de tip PLACINTA (Pie) cu ponderea fiecarei categorii in totalul cheltuielilor (Insert - Chart).</t>
  </si>
  <si>
    <t>TABELE PENTRU PIVOT: COMENZI (stanga) si PRODUSE (dreapta)</t>
  </si>
  <si>
    <t>Tabel PRODUSE (lista de preturi)</t>
  </si>
  <si>
    <t>Client</t>
  </si>
  <si>
    <t>Valoare (RON)</t>
  </si>
  <si>
    <t>SC Beta SRL</t>
  </si>
  <si>
    <t>PFA Ionescu</t>
  </si>
  <si>
    <t>Casti</t>
  </si>
  <si>
    <t>SC Omega SA</t>
  </si>
  <si>
    <t>SC Gama SA</t>
  </si>
  <si>
    <t>SC Delta SRL</t>
  </si>
  <si>
    <t>SC Alfa SRL</t>
  </si>
  <si>
    <t>CERINTE / EXERCITII - Pivot Table</t>
  </si>
  <si>
    <t>Completati coloana G (Categorie) cu categoria fiecarui produs, luata din tabelul Produse (functia VLOOKUP). Ca raspuns scrieti categoria comenzii Nr. 1.</t>
  </si>
  <si>
    <t>Completati coloana H (Valoare) = Cantitate x Pret unitar, cu pretul luat din tabelul Produse (functia VLOOKUP). Ca raspuns scrieti valoarea comenzii Nr. 1.</t>
  </si>
  <si>
    <t>Calculati valoarea totala a tuturor comenzilor (functia SUM pe coloana H).</t>
  </si>
  <si>
    <t>Transformati tabelul Comenzi intr-un Tabel Excel numit tblComenzi (Insert - Table).</t>
  </si>
  <si>
    <t>PIVOT 1: inserati un PivotTable cu Categorie pe randuri si Suma din Valoare in valori. Scrieti ca raspuns totalul pentru 'Electronice'.</t>
  </si>
  <si>
    <t>PIVOT 2: adaugati Regiune in Columns si Cantitate in Values (Suma). Scrieti ca raspuns cantitatea totala din regiunea 'Nord'.</t>
  </si>
  <si>
    <t>PIVOT 3: afisati Client pe randuri si Suma din Valoare, sortat descrescator. Scrieti valoarea totala a clientului 'SC Alfa SRL'.</t>
  </si>
  <si>
    <t>Grupati datele din pivot pe luni (Group Field - Months).</t>
  </si>
  <si>
    <t>Afisati valorile din pivot ca procent din total general (Show Values As - % of Grand Total).</t>
  </si>
  <si>
    <t>Adaugati un Slicer pentru Regiune si testati filtrarea (PivotTable Analyze - Insert Slicer).</t>
  </si>
  <si>
    <t>Formatati campul Valoare din pivot ca numar cu separator de mii si 2 zecimale (Value Field Settings - Number Format).</t>
  </si>
  <si>
    <t>Creati un PivotChart de tip COLOANE pe baza pivotului cu Categorie si Valoare (PivotTable Analyze - PivotChart).</t>
  </si>
  <si>
    <t>Adaugati bare de date (Data Bars) pe coloana Cantitate din tabelul Comenzi (Formatare conditionata).</t>
  </si>
  <si>
    <t>Modificati cantitatea comenzii Nr. 1 si actualizati pivotul (Refresh). Ce s-a schimbat?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</si>
</sst>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7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9"/>
      <color rgb="FF595959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1"/>
      <color rgb="FFFFFFFF"/>
      <name val="Arial"/>
      <charset val="1"/>
    </font>
    <font>
      <b/>
      <sz val="10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F6EA8"/>
        <bgColor rgb="FF3366FF"/>
      </patternFill>
    </fill>
    <fill>
      <patternFill patternType="solid">
        <fgColor rgb="FF548235"/>
        <bgColor rgb="FF339966"/>
      </patternFill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6" fillId="0" borderId="0" xfId="0" applyFont="1"/>
    <xf numFmtId="0" fontId="4" fillId="0" borderId="1" xfId="0" applyFont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2" fillId="0" borderId="0" xfId="0" applyFont="1"/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4" fontId="4" fillId="0" borderId="1" xfId="0" applyNumberFormat="1" applyFont="1" applyBorder="1" applyAlignment="1">
      <alignment horizontal="center" vertical="center" wrapText="1"/>
    </xf>
    <xf numFmtId="9" fontId="4" fillId="0" borderId="1" xfId="0" applyNumberFormat="1" applyFont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2" fontId="4" fillId="6" borderId="1" xfId="0" applyNumberFormat="1" applyFont="1" applyFill="1" applyBorder="1" applyAlignment="1">
      <alignment horizontal="right" vertical="center"/>
    </xf>
    <xf numFmtId="2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2F6EA8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F6EA8"/>
  </sheetPr>
  <dimension ref="A1:I41"/>
  <sheetViews>
    <sheetView zoomScaleNormal="100" workbookViewId="0">
      <selection activeCell="D45" sqref="D45"/>
    </sheetView>
  </sheetViews>
  <sheetFormatPr defaultColWidth="8.7109375" defaultRowHeight="15" x14ac:dyDescent="0.25"/>
  <cols>
    <col min="1" max="1" width="6" customWidth="1"/>
    <col min="2" max="2" width="12" customWidth="1"/>
    <col min="3" max="3" width="15" customWidth="1"/>
    <col min="4" max="4" width="14" customWidth="1"/>
    <col min="5" max="5" width="11" customWidth="1"/>
    <col min="6" max="6" width="18" customWidth="1"/>
    <col min="7" max="7" width="16" customWidth="1"/>
    <col min="8" max="8" width="11" customWidth="1"/>
    <col min="9" max="9" width="14" customWidth="1"/>
  </cols>
  <sheetData>
    <row r="1" spans="1:9" ht="25.5" customHeight="1" x14ac:dyDescent="0.25">
      <c r="A1" s="5" t="s">
        <v>0</v>
      </c>
      <c r="B1" s="5"/>
      <c r="C1" s="5"/>
      <c r="D1" s="5"/>
      <c r="E1" s="5"/>
      <c r="F1" s="5"/>
      <c r="G1" s="5"/>
      <c r="H1" s="5"/>
      <c r="I1" s="5"/>
    </row>
    <row r="2" spans="1:9" x14ac:dyDescent="0.25">
      <c r="A2" s="6" t="s">
        <v>1</v>
      </c>
    </row>
    <row r="3" spans="1:9" ht="30" customHeight="1" x14ac:dyDescent="0.25">
      <c r="A3" s="7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  <c r="H3" s="7" t="s">
        <v>9</v>
      </c>
      <c r="I3" s="7" t="s">
        <v>10</v>
      </c>
    </row>
    <row r="4" spans="1:9" x14ac:dyDescent="0.25">
      <c r="A4" s="8">
        <v>3</v>
      </c>
      <c r="B4" s="9">
        <v>46035</v>
      </c>
      <c r="C4" s="8" t="s">
        <v>17</v>
      </c>
      <c r="D4" s="8" t="s">
        <v>15</v>
      </c>
      <c r="E4" s="8" t="s">
        <v>18</v>
      </c>
      <c r="F4" s="8">
        <v>5</v>
      </c>
      <c r="G4" s="10">
        <v>3200</v>
      </c>
      <c r="H4" s="11">
        <v>0.05</v>
      </c>
      <c r="I4" s="10">
        <f>F4*G4*(1-H4)</f>
        <v>15200</v>
      </c>
    </row>
    <row r="5" spans="1:9" x14ac:dyDescent="0.25">
      <c r="A5" s="8">
        <v>5</v>
      </c>
      <c r="B5" s="9">
        <v>46045</v>
      </c>
      <c r="C5" s="8" t="s">
        <v>17</v>
      </c>
      <c r="D5" s="8" t="s">
        <v>15</v>
      </c>
      <c r="E5" s="8" t="s">
        <v>16</v>
      </c>
      <c r="F5" s="8">
        <v>4</v>
      </c>
      <c r="G5" s="10">
        <v>3200</v>
      </c>
      <c r="H5" s="11">
        <v>0</v>
      </c>
      <c r="I5" s="10">
        <f>F5*G5*(1-H5)</f>
        <v>12800</v>
      </c>
    </row>
    <row r="6" spans="1:9" x14ac:dyDescent="0.25">
      <c r="A6" s="8">
        <v>15</v>
      </c>
      <c r="B6" s="9">
        <v>46084</v>
      </c>
      <c r="C6" s="8" t="s">
        <v>17</v>
      </c>
      <c r="D6" s="8" t="s">
        <v>15</v>
      </c>
      <c r="E6" s="8" t="s">
        <v>13</v>
      </c>
      <c r="F6" s="8">
        <v>4</v>
      </c>
      <c r="G6" s="10">
        <v>3200</v>
      </c>
      <c r="H6" s="11">
        <v>0</v>
      </c>
      <c r="I6" s="10">
        <f>F6*G6*(1-H6)</f>
        <v>12800</v>
      </c>
    </row>
    <row r="7" spans="1:9" x14ac:dyDescent="0.25">
      <c r="A7" s="8">
        <v>2</v>
      </c>
      <c r="B7" s="9">
        <v>46033</v>
      </c>
      <c r="C7" s="8" t="s">
        <v>14</v>
      </c>
      <c r="D7" s="8" t="s">
        <v>15</v>
      </c>
      <c r="E7" s="8" t="s">
        <v>16</v>
      </c>
      <c r="F7" s="8">
        <v>6</v>
      </c>
      <c r="G7" s="10">
        <v>2100</v>
      </c>
      <c r="H7" s="11">
        <v>0</v>
      </c>
      <c r="I7" s="10">
        <f>F7*G7*(1-H7)</f>
        <v>12600</v>
      </c>
    </row>
    <row r="8" spans="1:9" x14ac:dyDescent="0.25">
      <c r="A8" s="8">
        <v>10</v>
      </c>
      <c r="B8" s="9">
        <v>46064</v>
      </c>
      <c r="C8" s="8" t="s">
        <v>14</v>
      </c>
      <c r="D8" s="8" t="s">
        <v>15</v>
      </c>
      <c r="E8" s="8" t="s">
        <v>16</v>
      </c>
      <c r="F8" s="8">
        <v>6</v>
      </c>
      <c r="G8" s="10">
        <v>2100</v>
      </c>
      <c r="H8" s="11">
        <v>0.1</v>
      </c>
      <c r="I8" s="10">
        <f>F8*G8*(1-H8)</f>
        <v>11340</v>
      </c>
    </row>
    <row r="9" spans="1:9" x14ac:dyDescent="0.25">
      <c r="A9" s="8">
        <v>20</v>
      </c>
      <c r="B9" s="9">
        <v>46104</v>
      </c>
      <c r="C9" s="8" t="s">
        <v>17</v>
      </c>
      <c r="D9" s="8" t="s">
        <v>15</v>
      </c>
      <c r="E9" s="8" t="s">
        <v>23</v>
      </c>
      <c r="F9" s="8">
        <v>3</v>
      </c>
      <c r="G9" s="10">
        <v>3200</v>
      </c>
      <c r="H9" s="11">
        <v>0</v>
      </c>
      <c r="I9" s="10">
        <f>F9*G9*(1-H9)</f>
        <v>9600</v>
      </c>
    </row>
    <row r="10" spans="1:9" x14ac:dyDescent="0.25">
      <c r="A10" s="8">
        <v>1</v>
      </c>
      <c r="B10" s="9">
        <v>46027</v>
      </c>
      <c r="C10" s="8" t="s">
        <v>11</v>
      </c>
      <c r="D10" s="8" t="s">
        <v>12</v>
      </c>
      <c r="E10" s="8" t="s">
        <v>13</v>
      </c>
      <c r="F10" s="8">
        <v>11</v>
      </c>
      <c r="G10" s="10">
        <v>800</v>
      </c>
      <c r="H10" s="11">
        <v>0</v>
      </c>
      <c r="I10" s="10">
        <f>F10*G10*(1-H10)</f>
        <v>8800</v>
      </c>
    </row>
    <row r="11" spans="1:9" x14ac:dyDescent="0.25">
      <c r="A11" s="8">
        <v>9</v>
      </c>
      <c r="B11" s="9">
        <v>46059</v>
      </c>
      <c r="C11" s="8" t="s">
        <v>11</v>
      </c>
      <c r="D11" s="8" t="s">
        <v>12</v>
      </c>
      <c r="E11" s="8" t="s">
        <v>16</v>
      </c>
      <c r="F11" s="8">
        <v>10</v>
      </c>
      <c r="G11" s="10">
        <v>800</v>
      </c>
      <c r="H11" s="11">
        <v>0</v>
      </c>
      <c r="I11" s="10">
        <f>F11*G11*(1-H11)</f>
        <v>8000</v>
      </c>
    </row>
    <row r="12" spans="1:9" x14ac:dyDescent="0.25">
      <c r="A12" s="8">
        <v>12</v>
      </c>
      <c r="B12" s="9">
        <v>46071</v>
      </c>
      <c r="C12" s="8" t="s">
        <v>24</v>
      </c>
      <c r="D12" s="8" t="s">
        <v>15</v>
      </c>
      <c r="E12" s="8" t="s">
        <v>23</v>
      </c>
      <c r="F12" s="8">
        <v>9</v>
      </c>
      <c r="G12" s="10">
        <v>900</v>
      </c>
      <c r="H12" s="11">
        <v>0.15</v>
      </c>
      <c r="I12" s="10">
        <f>F12*G12*(1-H12)</f>
        <v>6885</v>
      </c>
    </row>
    <row r="13" spans="1:9" x14ac:dyDescent="0.25">
      <c r="A13" s="8">
        <v>7</v>
      </c>
      <c r="B13" s="9">
        <v>46052</v>
      </c>
      <c r="C13" s="8" t="s">
        <v>20</v>
      </c>
      <c r="D13" s="8" t="s">
        <v>12</v>
      </c>
      <c r="E13" s="8" t="s">
        <v>18</v>
      </c>
      <c r="F13" s="8">
        <v>9</v>
      </c>
      <c r="G13" s="10">
        <v>650</v>
      </c>
      <c r="H13" s="11">
        <v>0</v>
      </c>
      <c r="I13" s="10">
        <f>F13*G13*(1-H13)</f>
        <v>5850</v>
      </c>
    </row>
    <row r="14" spans="1:9" x14ac:dyDescent="0.25">
      <c r="A14" s="8">
        <v>14</v>
      </c>
      <c r="B14" s="9">
        <v>46081</v>
      </c>
      <c r="C14" s="8" t="s">
        <v>14</v>
      </c>
      <c r="D14" s="8" t="s">
        <v>15</v>
      </c>
      <c r="E14" s="8" t="s">
        <v>13</v>
      </c>
      <c r="F14" s="8">
        <v>3</v>
      </c>
      <c r="G14" s="10">
        <v>2100</v>
      </c>
      <c r="H14" s="11">
        <v>0.1</v>
      </c>
      <c r="I14" s="10">
        <f>F14*G14*(1-H14)</f>
        <v>5670</v>
      </c>
    </row>
    <row r="15" spans="1:9" x14ac:dyDescent="0.25">
      <c r="A15" s="8">
        <v>13</v>
      </c>
      <c r="B15" s="9">
        <v>46077</v>
      </c>
      <c r="C15" s="8" t="s">
        <v>11</v>
      </c>
      <c r="D15" s="8" t="s">
        <v>12</v>
      </c>
      <c r="E15" s="8" t="s">
        <v>13</v>
      </c>
      <c r="F15" s="8">
        <v>5</v>
      </c>
      <c r="G15" s="10">
        <v>800</v>
      </c>
      <c r="H15" s="11">
        <v>0</v>
      </c>
      <c r="I15" s="10">
        <f>F15*G15*(1-H15)</f>
        <v>4000</v>
      </c>
    </row>
    <row r="16" spans="1:9" x14ac:dyDescent="0.25">
      <c r="A16" s="8">
        <v>8</v>
      </c>
      <c r="B16" s="9">
        <v>46057</v>
      </c>
      <c r="C16" s="8" t="s">
        <v>20</v>
      </c>
      <c r="D16" s="8" t="s">
        <v>12</v>
      </c>
      <c r="E16" s="8" t="s">
        <v>18</v>
      </c>
      <c r="F16" s="8">
        <v>2</v>
      </c>
      <c r="G16" s="10">
        <v>650</v>
      </c>
      <c r="H16" s="11">
        <v>0.05</v>
      </c>
      <c r="I16" s="10">
        <f>F16*G16*(1-H16)</f>
        <v>1235</v>
      </c>
    </row>
    <row r="17" spans="1:9" x14ac:dyDescent="0.25">
      <c r="A17" s="8">
        <v>16</v>
      </c>
      <c r="B17" s="9">
        <v>46089</v>
      </c>
      <c r="C17" s="8" t="s">
        <v>25</v>
      </c>
      <c r="D17" s="8" t="s">
        <v>22</v>
      </c>
      <c r="E17" s="8" t="s">
        <v>23</v>
      </c>
      <c r="F17" s="8">
        <v>41</v>
      </c>
      <c r="G17" s="10">
        <v>25</v>
      </c>
      <c r="H17" s="11">
        <v>0.1</v>
      </c>
      <c r="I17" s="10">
        <f>F17*G17*(1-H17)</f>
        <v>922.5</v>
      </c>
    </row>
    <row r="18" spans="1:9" x14ac:dyDescent="0.25">
      <c r="A18" s="8">
        <v>18</v>
      </c>
      <c r="B18" s="9">
        <v>46096</v>
      </c>
      <c r="C18" s="8" t="s">
        <v>20</v>
      </c>
      <c r="D18" s="8" t="s">
        <v>12</v>
      </c>
      <c r="E18" s="8" t="s">
        <v>16</v>
      </c>
      <c r="F18" s="8">
        <v>1</v>
      </c>
      <c r="G18" s="10">
        <v>650</v>
      </c>
      <c r="H18" s="11">
        <v>0.1</v>
      </c>
      <c r="I18" s="10">
        <f>F18*G18*(1-H18)</f>
        <v>585</v>
      </c>
    </row>
    <row r="19" spans="1:9" x14ac:dyDescent="0.25">
      <c r="A19" s="8">
        <v>19</v>
      </c>
      <c r="B19" s="9">
        <v>46100</v>
      </c>
      <c r="C19" s="8" t="s">
        <v>21</v>
      </c>
      <c r="D19" s="8" t="s">
        <v>22</v>
      </c>
      <c r="E19" s="8" t="s">
        <v>13</v>
      </c>
      <c r="F19" s="8">
        <v>76</v>
      </c>
      <c r="G19" s="10">
        <v>8</v>
      </c>
      <c r="H19" s="11">
        <v>0.1</v>
      </c>
      <c r="I19" s="10">
        <f>F19*G19*(1-H19)</f>
        <v>547.20000000000005</v>
      </c>
    </row>
    <row r="20" spans="1:9" x14ac:dyDescent="0.25">
      <c r="A20" s="8">
        <v>11</v>
      </c>
      <c r="B20" s="9">
        <v>46068</v>
      </c>
      <c r="C20" s="8" t="s">
        <v>21</v>
      </c>
      <c r="D20" s="8" t="s">
        <v>22</v>
      </c>
      <c r="E20" s="8" t="s">
        <v>23</v>
      </c>
      <c r="F20" s="8">
        <v>35</v>
      </c>
      <c r="G20" s="10">
        <v>8</v>
      </c>
      <c r="H20" s="11">
        <v>0.05</v>
      </c>
      <c r="I20" s="10">
        <f>F20*G20*(1-H20)</f>
        <v>266</v>
      </c>
    </row>
    <row r="21" spans="1:9" x14ac:dyDescent="0.25">
      <c r="A21" s="8">
        <v>4</v>
      </c>
      <c r="B21" s="9">
        <v>46039</v>
      </c>
      <c r="C21" s="8" t="s">
        <v>19</v>
      </c>
      <c r="D21" s="8" t="s">
        <v>12</v>
      </c>
      <c r="E21" s="8" t="s">
        <v>18</v>
      </c>
      <c r="F21" s="8">
        <v>2</v>
      </c>
      <c r="G21" s="10">
        <v>120</v>
      </c>
      <c r="H21" s="11">
        <v>0.15</v>
      </c>
      <c r="I21" s="10">
        <f>F21*G21*(1-H21)</f>
        <v>204</v>
      </c>
    </row>
    <row r="22" spans="1:9" x14ac:dyDescent="0.25">
      <c r="A22" s="8">
        <v>17</v>
      </c>
      <c r="B22" s="9">
        <v>46093</v>
      </c>
      <c r="C22" s="8" t="s">
        <v>21</v>
      </c>
      <c r="D22" s="8" t="s">
        <v>22</v>
      </c>
      <c r="E22" s="8" t="s">
        <v>13</v>
      </c>
      <c r="F22" s="8">
        <v>24</v>
      </c>
      <c r="G22" s="10">
        <v>8</v>
      </c>
      <c r="H22" s="11">
        <v>0</v>
      </c>
      <c r="I22" s="10">
        <f>F22*G22*(1-H22)</f>
        <v>192</v>
      </c>
    </row>
    <row r="23" spans="1:9" x14ac:dyDescent="0.25">
      <c r="A23" s="8">
        <v>6</v>
      </c>
      <c r="B23" s="9">
        <v>46047</v>
      </c>
      <c r="C23" s="8" t="s">
        <v>19</v>
      </c>
      <c r="D23" s="8" t="s">
        <v>12</v>
      </c>
      <c r="E23" s="8" t="s">
        <v>18</v>
      </c>
      <c r="F23" s="8">
        <v>1</v>
      </c>
      <c r="G23" s="10">
        <v>120</v>
      </c>
      <c r="H23" s="11">
        <v>0.05</v>
      </c>
      <c r="I23" s="10">
        <f>F23*G23*(1-H23)</f>
        <v>114</v>
      </c>
    </row>
    <row r="26" spans="1:9" ht="15" customHeight="1" x14ac:dyDescent="0.25">
      <c r="A26" s="4" t="s">
        <v>26</v>
      </c>
      <c r="B26" s="4"/>
      <c r="C26" s="4"/>
      <c r="D26" s="4"/>
      <c r="E26" s="4"/>
      <c r="F26" s="4"/>
    </row>
    <row r="27" spans="1:9" ht="15" customHeight="1" x14ac:dyDescent="0.25">
      <c r="A27" s="12" t="s">
        <v>2</v>
      </c>
      <c r="B27" s="3" t="s">
        <v>27</v>
      </c>
      <c r="C27" s="3"/>
      <c r="D27" s="3"/>
      <c r="E27" s="3"/>
      <c r="F27" s="12" t="s">
        <v>28</v>
      </c>
    </row>
    <row r="28" spans="1:9" ht="33" customHeight="1" x14ac:dyDescent="0.25">
      <c r="A28" s="8">
        <v>1</v>
      </c>
      <c r="B28" s="2" t="s">
        <v>29</v>
      </c>
      <c r="C28" s="2"/>
      <c r="D28" s="2"/>
      <c r="E28" s="2"/>
      <c r="F28" s="13"/>
    </row>
    <row r="29" spans="1:9" ht="33" customHeight="1" x14ac:dyDescent="0.25">
      <c r="A29" s="8">
        <v>2</v>
      </c>
      <c r="B29" s="2" t="s">
        <v>30</v>
      </c>
      <c r="C29" s="2"/>
      <c r="D29" s="2"/>
      <c r="E29" s="2"/>
      <c r="F29" s="13"/>
    </row>
    <row r="30" spans="1:9" ht="33" customHeight="1" x14ac:dyDescent="0.25">
      <c r="A30" s="8">
        <v>3</v>
      </c>
      <c r="B30" s="2" t="s">
        <v>31</v>
      </c>
      <c r="C30" s="2"/>
      <c r="D30" s="2"/>
      <c r="E30" s="2"/>
      <c r="F30" s="13"/>
    </row>
    <row r="31" spans="1:9" ht="33" customHeight="1" x14ac:dyDescent="0.25">
      <c r="A31" s="8">
        <v>4</v>
      </c>
      <c r="B31" s="2" t="s">
        <v>32</v>
      </c>
      <c r="C31" s="2"/>
      <c r="D31" s="2"/>
      <c r="E31" s="2"/>
      <c r="F31" s="13"/>
    </row>
    <row r="32" spans="1:9" ht="33" customHeight="1" x14ac:dyDescent="0.25">
      <c r="A32" s="8">
        <v>5</v>
      </c>
      <c r="B32" s="2" t="s">
        <v>33</v>
      </c>
      <c r="C32" s="2"/>
      <c r="D32" s="2"/>
      <c r="E32" s="2"/>
      <c r="F32" s="13"/>
    </row>
    <row r="33" spans="1:7" ht="33" customHeight="1" x14ac:dyDescent="0.25">
      <c r="A33" s="8">
        <v>6</v>
      </c>
      <c r="B33" s="2" t="s">
        <v>34</v>
      </c>
      <c r="C33" s="2"/>
      <c r="D33" s="2"/>
      <c r="E33" s="2"/>
      <c r="F33" s="13"/>
    </row>
    <row r="34" spans="1:7" ht="33" customHeight="1" x14ac:dyDescent="0.25">
      <c r="A34" s="8">
        <v>7</v>
      </c>
      <c r="B34" s="2" t="s">
        <v>35</v>
      </c>
      <c r="C34" s="2"/>
      <c r="D34" s="2"/>
      <c r="E34" s="2"/>
      <c r="F34" s="13"/>
    </row>
    <row r="35" spans="1:7" ht="33" customHeight="1" x14ac:dyDescent="0.25">
      <c r="A35" s="8">
        <v>8</v>
      </c>
      <c r="B35" s="2" t="s">
        <v>36</v>
      </c>
      <c r="C35" s="2"/>
      <c r="D35" s="2"/>
      <c r="E35" s="2"/>
      <c r="F35" s="13"/>
    </row>
    <row r="36" spans="1:7" ht="33" customHeight="1" x14ac:dyDescent="0.25">
      <c r="A36" s="8">
        <v>9</v>
      </c>
      <c r="B36" s="2" t="s">
        <v>37</v>
      </c>
      <c r="C36" s="2"/>
      <c r="D36" s="2"/>
      <c r="E36" s="2"/>
      <c r="F36" s="13"/>
    </row>
    <row r="37" spans="1:7" ht="33" customHeight="1" x14ac:dyDescent="0.25">
      <c r="A37" s="8">
        <v>10</v>
      </c>
      <c r="B37" s="2" t="s">
        <v>38</v>
      </c>
      <c r="C37" s="2"/>
      <c r="D37" s="2"/>
      <c r="E37" s="2"/>
      <c r="F37" s="16"/>
      <c r="G37" s="17"/>
    </row>
    <row r="38" spans="1:7" ht="46.5" customHeight="1" x14ac:dyDescent="0.25">
      <c r="A38" s="8">
        <v>11</v>
      </c>
      <c r="B38" s="2" t="s">
        <v>39</v>
      </c>
      <c r="C38" s="2"/>
      <c r="D38" s="2"/>
      <c r="E38" s="2"/>
      <c r="F38" s="13"/>
    </row>
    <row r="39" spans="1:7" ht="46.5" customHeight="1" x14ac:dyDescent="0.25">
      <c r="A39" s="8">
        <v>12</v>
      </c>
      <c r="B39" s="2" t="s">
        <v>40</v>
      </c>
      <c r="C39" s="2"/>
      <c r="D39" s="2"/>
      <c r="E39" s="2"/>
      <c r="F39" s="13"/>
    </row>
    <row r="40" spans="1:7" ht="46.5" customHeight="1" x14ac:dyDescent="0.25">
      <c r="A40" s="8">
        <v>13</v>
      </c>
      <c r="B40" s="2"/>
      <c r="C40" s="2"/>
      <c r="D40" s="2"/>
      <c r="E40" s="2"/>
      <c r="F40" s="13"/>
    </row>
    <row r="41" spans="1:7" ht="46.5" customHeight="1" x14ac:dyDescent="0.25">
      <c r="A41" s="8">
        <v>14</v>
      </c>
      <c r="B41" s="2"/>
      <c r="C41" s="2"/>
      <c r="D41" s="2"/>
      <c r="E41" s="2"/>
      <c r="F41" s="13"/>
    </row>
  </sheetData>
  <mergeCells count="17">
    <mergeCell ref="B40:E40"/>
    <mergeCell ref="B41:E41"/>
    <mergeCell ref="B35:E35"/>
    <mergeCell ref="B36:E36"/>
    <mergeCell ref="B37:E37"/>
    <mergeCell ref="B38:E38"/>
    <mergeCell ref="B39:E39"/>
    <mergeCell ref="B30:E30"/>
    <mergeCell ref="B31:E31"/>
    <mergeCell ref="B32:E32"/>
    <mergeCell ref="B33:E33"/>
    <mergeCell ref="B34:E34"/>
    <mergeCell ref="A1:I1"/>
    <mergeCell ref="A26:F26"/>
    <mergeCell ref="B27:E27"/>
    <mergeCell ref="B28:E28"/>
    <mergeCell ref="B29:E2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F6EA8"/>
  </sheetPr>
  <dimension ref="A1:I39"/>
  <sheetViews>
    <sheetView tabSelected="1" topLeftCell="B3" zoomScaleNormal="100" workbookViewId="0">
      <selection activeCell="H25" sqref="H25"/>
    </sheetView>
  </sheetViews>
  <sheetFormatPr defaultColWidth="8.7109375" defaultRowHeight="15" x14ac:dyDescent="0.25"/>
  <cols>
    <col min="1" max="1" width="6" customWidth="1"/>
    <col min="2" max="2" width="18" customWidth="1"/>
    <col min="3" max="3" width="15" customWidth="1"/>
    <col min="4" max="4" width="20" customWidth="1"/>
    <col min="5" max="5" width="15" customWidth="1"/>
    <col min="6" max="6" width="18" customWidth="1"/>
    <col min="7" max="7" width="15" customWidth="1"/>
    <col min="8" max="9" width="13" customWidth="1"/>
  </cols>
  <sheetData>
    <row r="1" spans="1:9" ht="25.5" customHeight="1" x14ac:dyDescent="0.25">
      <c r="A1" s="5" t="s">
        <v>41</v>
      </c>
      <c r="B1" s="5"/>
      <c r="C1" s="5"/>
      <c r="D1" s="5"/>
      <c r="E1" s="5"/>
      <c r="F1" s="5"/>
      <c r="G1" s="5"/>
      <c r="H1" s="5"/>
      <c r="I1" s="5"/>
    </row>
    <row r="2" spans="1:9" x14ac:dyDescent="0.25">
      <c r="A2" s="6" t="s">
        <v>1</v>
      </c>
    </row>
    <row r="3" spans="1:9" ht="30" customHeight="1" x14ac:dyDescent="0.25">
      <c r="A3" s="7" t="s">
        <v>2</v>
      </c>
      <c r="B3" s="7" t="s">
        <v>42</v>
      </c>
      <c r="C3" s="7" t="s">
        <v>43</v>
      </c>
      <c r="D3" s="7" t="s">
        <v>44</v>
      </c>
      <c r="E3" s="7" t="s">
        <v>45</v>
      </c>
      <c r="F3" s="7" t="s">
        <v>46</v>
      </c>
      <c r="G3" s="7" t="s">
        <v>47</v>
      </c>
      <c r="H3" s="7" t="s">
        <v>48</v>
      </c>
      <c r="I3" s="7" t="s">
        <v>49</v>
      </c>
    </row>
    <row r="4" spans="1:9" x14ac:dyDescent="0.25">
      <c r="A4" s="8">
        <v>1</v>
      </c>
      <c r="B4" s="8" t="s">
        <v>50</v>
      </c>
      <c r="C4" s="8" t="s">
        <v>51</v>
      </c>
      <c r="D4" s="8" t="s">
        <v>52</v>
      </c>
      <c r="E4" s="9">
        <v>43539</v>
      </c>
      <c r="F4" s="14">
        <v>7200</v>
      </c>
      <c r="G4" s="8">
        <v>12</v>
      </c>
      <c r="H4" s="8" t="s">
        <v>53</v>
      </c>
      <c r="I4" s="15"/>
    </row>
    <row r="5" spans="1:9" x14ac:dyDescent="0.25">
      <c r="A5" s="8">
        <v>2</v>
      </c>
      <c r="B5" s="8" t="s">
        <v>54</v>
      </c>
      <c r="C5" s="8" t="s">
        <v>55</v>
      </c>
      <c r="D5" s="8" t="s">
        <v>56</v>
      </c>
      <c r="E5" s="9">
        <v>43282</v>
      </c>
      <c r="F5" s="14">
        <v>4800</v>
      </c>
      <c r="G5" s="8">
        <v>4</v>
      </c>
      <c r="H5" s="8" t="s">
        <v>57</v>
      </c>
      <c r="I5" s="15"/>
    </row>
    <row r="6" spans="1:9" x14ac:dyDescent="0.25">
      <c r="A6" s="8">
        <v>3</v>
      </c>
      <c r="B6" s="8" t="s">
        <v>58</v>
      </c>
      <c r="C6" s="8" t="s">
        <v>59</v>
      </c>
      <c r="D6" s="8" t="s">
        <v>60</v>
      </c>
      <c r="E6" s="9">
        <v>44237</v>
      </c>
      <c r="F6" s="14">
        <v>4200</v>
      </c>
      <c r="G6" s="8">
        <v>15</v>
      </c>
      <c r="H6" s="8" t="s">
        <v>61</v>
      </c>
      <c r="I6" s="15"/>
    </row>
    <row r="7" spans="1:9" x14ac:dyDescent="0.25">
      <c r="A7" s="8">
        <v>4</v>
      </c>
      <c r="B7" s="8" t="s">
        <v>62</v>
      </c>
      <c r="C7" s="8" t="s">
        <v>63</v>
      </c>
      <c r="D7" s="8" t="s">
        <v>64</v>
      </c>
      <c r="E7" s="9">
        <v>43059</v>
      </c>
      <c r="F7" s="14">
        <v>5600</v>
      </c>
      <c r="G7" s="8">
        <v>8</v>
      </c>
      <c r="H7" s="8" t="s">
        <v>65</v>
      </c>
      <c r="I7" s="15"/>
    </row>
    <row r="8" spans="1:9" x14ac:dyDescent="0.25">
      <c r="A8" s="8">
        <v>5</v>
      </c>
      <c r="B8" s="8" t="s">
        <v>66</v>
      </c>
      <c r="C8" s="8" t="s">
        <v>51</v>
      </c>
      <c r="D8" s="8" t="s">
        <v>67</v>
      </c>
      <c r="E8" s="9">
        <v>43987</v>
      </c>
      <c r="F8" s="14">
        <v>6500</v>
      </c>
      <c r="G8" s="8">
        <v>6</v>
      </c>
      <c r="H8" s="8" t="s">
        <v>68</v>
      </c>
      <c r="I8" s="15"/>
    </row>
    <row r="9" spans="1:9" x14ac:dyDescent="0.25">
      <c r="A9" s="8">
        <v>6</v>
      </c>
      <c r="B9" s="8" t="s">
        <v>69</v>
      </c>
      <c r="C9" s="8" t="s">
        <v>70</v>
      </c>
      <c r="D9" s="8" t="s">
        <v>71</v>
      </c>
      <c r="E9" s="9">
        <v>44578</v>
      </c>
      <c r="F9" s="14">
        <v>4900</v>
      </c>
      <c r="G9" s="8">
        <v>3</v>
      </c>
      <c r="H9" s="8" t="s">
        <v>53</v>
      </c>
      <c r="I9" s="15"/>
    </row>
    <row r="10" spans="1:9" x14ac:dyDescent="0.25">
      <c r="A10" s="8">
        <v>7</v>
      </c>
      <c r="B10" s="8" t="s">
        <v>72</v>
      </c>
      <c r="C10" s="8" t="s">
        <v>59</v>
      </c>
      <c r="D10" s="8" t="s">
        <v>73</v>
      </c>
      <c r="E10" s="9">
        <v>42625</v>
      </c>
      <c r="F10" s="14">
        <v>8100</v>
      </c>
      <c r="G10" s="8">
        <v>20</v>
      </c>
      <c r="H10" s="8" t="s">
        <v>57</v>
      </c>
      <c r="I10" s="15"/>
    </row>
    <row r="11" spans="1:9" x14ac:dyDescent="0.25">
      <c r="A11" s="8">
        <v>8</v>
      </c>
      <c r="B11" s="8" t="s">
        <v>74</v>
      </c>
      <c r="C11" s="8" t="s">
        <v>55</v>
      </c>
      <c r="D11" s="8" t="s">
        <v>75</v>
      </c>
      <c r="E11" s="9">
        <v>42097</v>
      </c>
      <c r="F11" s="14">
        <v>7400</v>
      </c>
      <c r="G11" s="8">
        <v>2</v>
      </c>
      <c r="H11" s="8" t="s">
        <v>61</v>
      </c>
      <c r="I11" s="15"/>
    </row>
    <row r="12" spans="1:9" x14ac:dyDescent="0.25">
      <c r="A12" s="8">
        <v>9</v>
      </c>
      <c r="B12" s="8" t="s">
        <v>76</v>
      </c>
      <c r="C12" s="8" t="s">
        <v>51</v>
      </c>
      <c r="D12" s="8" t="s">
        <v>77</v>
      </c>
      <c r="E12" s="9">
        <v>45068</v>
      </c>
      <c r="F12" s="14">
        <v>5200</v>
      </c>
      <c r="G12" s="8">
        <v>11</v>
      </c>
      <c r="H12" s="8" t="s">
        <v>65</v>
      </c>
      <c r="I12" s="15"/>
    </row>
    <row r="13" spans="1:9" x14ac:dyDescent="0.25">
      <c r="A13" s="8">
        <v>10</v>
      </c>
      <c r="B13" s="8" t="s">
        <v>78</v>
      </c>
      <c r="C13" s="8" t="s">
        <v>63</v>
      </c>
      <c r="D13" s="8" t="s">
        <v>79</v>
      </c>
      <c r="E13" s="9">
        <v>41920</v>
      </c>
      <c r="F13" s="14">
        <v>8800</v>
      </c>
      <c r="G13" s="8">
        <v>5</v>
      </c>
      <c r="H13" s="8" t="s">
        <v>53</v>
      </c>
      <c r="I13" s="15"/>
    </row>
    <row r="14" spans="1:9" x14ac:dyDescent="0.25">
      <c r="A14" s="8">
        <v>11</v>
      </c>
      <c r="B14" s="8" t="s">
        <v>80</v>
      </c>
      <c r="C14" s="8" t="s">
        <v>70</v>
      </c>
      <c r="D14" s="8" t="s">
        <v>81</v>
      </c>
      <c r="E14" s="9">
        <v>44438</v>
      </c>
      <c r="F14" s="14">
        <v>5100</v>
      </c>
      <c r="G14" s="8">
        <v>9</v>
      </c>
      <c r="H14" s="8" t="s">
        <v>68</v>
      </c>
      <c r="I14" s="15"/>
    </row>
    <row r="15" spans="1:9" x14ac:dyDescent="0.25">
      <c r="A15" s="8">
        <v>12</v>
      </c>
      <c r="B15" s="8" t="s">
        <v>82</v>
      </c>
      <c r="C15" s="8" t="s">
        <v>59</v>
      </c>
      <c r="D15" s="8" t="s">
        <v>60</v>
      </c>
      <c r="E15" s="9">
        <v>44879</v>
      </c>
      <c r="F15" s="14">
        <v>4300</v>
      </c>
      <c r="G15" s="8">
        <v>18</v>
      </c>
      <c r="H15" s="8" t="s">
        <v>57</v>
      </c>
      <c r="I15" s="15"/>
    </row>
    <row r="16" spans="1:9" x14ac:dyDescent="0.25">
      <c r="A16" s="8">
        <v>13</v>
      </c>
      <c r="B16" s="8" t="s">
        <v>83</v>
      </c>
      <c r="C16" s="8" t="s">
        <v>51</v>
      </c>
      <c r="D16" s="8" t="s">
        <v>52</v>
      </c>
      <c r="E16" s="9">
        <v>43857</v>
      </c>
      <c r="F16" s="14">
        <v>7800</v>
      </c>
      <c r="G16" s="8">
        <v>14</v>
      </c>
      <c r="H16" s="8" t="s">
        <v>61</v>
      </c>
      <c r="I16" s="15"/>
    </row>
    <row r="17" spans="1:9" x14ac:dyDescent="0.25">
      <c r="A17" s="8">
        <v>14</v>
      </c>
      <c r="B17" s="8" t="s">
        <v>84</v>
      </c>
      <c r="C17" s="8" t="s">
        <v>70</v>
      </c>
      <c r="D17" s="8" t="s">
        <v>85</v>
      </c>
      <c r="E17" s="9">
        <v>43178</v>
      </c>
      <c r="F17" s="14">
        <v>7600</v>
      </c>
      <c r="G17" s="8">
        <v>7</v>
      </c>
      <c r="H17" s="8" t="s">
        <v>53</v>
      </c>
      <c r="I17" s="15"/>
    </row>
    <row r="18" spans="1:9" x14ac:dyDescent="0.25">
      <c r="A18" s="8">
        <v>15</v>
      </c>
      <c r="B18" s="8" t="s">
        <v>86</v>
      </c>
      <c r="C18" s="8" t="s">
        <v>63</v>
      </c>
      <c r="D18" s="8" t="s">
        <v>87</v>
      </c>
      <c r="E18" s="9">
        <v>45173</v>
      </c>
      <c r="F18" s="14">
        <v>3900</v>
      </c>
      <c r="G18" s="8">
        <v>0</v>
      </c>
      <c r="H18" s="8" t="s">
        <v>65</v>
      </c>
      <c r="I18" s="15"/>
    </row>
    <row r="19" spans="1:9" x14ac:dyDescent="0.25">
      <c r="A19" s="8">
        <v>16</v>
      </c>
      <c r="B19" s="8" t="s">
        <v>88</v>
      </c>
      <c r="C19" s="8" t="s">
        <v>55</v>
      </c>
      <c r="D19" s="8" t="s">
        <v>89</v>
      </c>
      <c r="E19" s="9">
        <v>44368</v>
      </c>
      <c r="F19" s="14">
        <v>4500</v>
      </c>
      <c r="G19" s="8">
        <v>10</v>
      </c>
      <c r="H19" s="8" t="s">
        <v>57</v>
      </c>
      <c r="I19" s="15"/>
    </row>
    <row r="20" spans="1:9" x14ac:dyDescent="0.25">
      <c r="A20" s="8">
        <v>17</v>
      </c>
      <c r="B20" s="8" t="s">
        <v>90</v>
      </c>
      <c r="C20" s="8" t="s">
        <v>59</v>
      </c>
      <c r="D20" s="8" t="s">
        <v>60</v>
      </c>
      <c r="E20" s="9">
        <v>43801</v>
      </c>
      <c r="F20" s="14">
        <v>4400</v>
      </c>
      <c r="G20" s="8">
        <v>13</v>
      </c>
      <c r="H20" s="8" t="s">
        <v>68</v>
      </c>
      <c r="I20" s="15"/>
    </row>
    <row r="21" spans="1:9" x14ac:dyDescent="0.25">
      <c r="A21" s="8">
        <v>18</v>
      </c>
      <c r="B21" s="8" t="s">
        <v>91</v>
      </c>
      <c r="C21" s="8" t="s">
        <v>51</v>
      </c>
      <c r="D21" s="8" t="s">
        <v>92</v>
      </c>
      <c r="E21" s="9">
        <v>43689</v>
      </c>
      <c r="F21" s="14">
        <v>6900</v>
      </c>
      <c r="G21" s="8">
        <v>8</v>
      </c>
      <c r="H21" s="8" t="s">
        <v>53</v>
      </c>
      <c r="I21" s="15"/>
    </row>
    <row r="24" spans="1:9" ht="15" customHeight="1" x14ac:dyDescent="0.25">
      <c r="A24" s="4" t="s">
        <v>93</v>
      </c>
      <c r="B24" s="4"/>
      <c r="C24" s="4"/>
      <c r="D24" s="4"/>
      <c r="E24" s="4"/>
      <c r="F24" s="4"/>
    </row>
    <row r="25" spans="1:9" ht="15" customHeight="1" x14ac:dyDescent="0.25">
      <c r="A25" s="12" t="s">
        <v>2</v>
      </c>
      <c r="B25" s="3" t="s">
        <v>27</v>
      </c>
      <c r="C25" s="3"/>
      <c r="D25" s="3"/>
      <c r="E25" s="3"/>
      <c r="F25" s="12" t="s">
        <v>28</v>
      </c>
    </row>
    <row r="26" spans="1:9" ht="19.5" customHeight="1" x14ac:dyDescent="0.25">
      <c r="A26" s="8">
        <v>1</v>
      </c>
      <c r="B26" s="2" t="s">
        <v>94</v>
      </c>
      <c r="C26" s="2"/>
      <c r="D26" s="2"/>
      <c r="E26" s="2"/>
      <c r="F26" s="13"/>
    </row>
    <row r="27" spans="1:9" ht="19.5" customHeight="1" x14ac:dyDescent="0.25">
      <c r="A27" s="8">
        <v>2</v>
      </c>
      <c r="B27" s="2" t="s">
        <v>95</v>
      </c>
      <c r="C27" s="2"/>
      <c r="D27" s="2"/>
      <c r="E27" s="2"/>
      <c r="F27" s="13"/>
    </row>
    <row r="28" spans="1:9" ht="19.5" customHeight="1" x14ac:dyDescent="0.25">
      <c r="A28" s="8">
        <v>3</v>
      </c>
      <c r="B28" s="2" t="s">
        <v>96</v>
      </c>
      <c r="C28" s="2"/>
      <c r="D28" s="2"/>
      <c r="E28" s="2"/>
      <c r="F28" s="13"/>
    </row>
    <row r="29" spans="1:9" ht="19.5" customHeight="1" x14ac:dyDescent="0.25">
      <c r="A29" s="8">
        <v>4</v>
      </c>
      <c r="B29" s="2" t="s">
        <v>97</v>
      </c>
      <c r="C29" s="2"/>
      <c r="D29" s="2"/>
      <c r="E29" s="2"/>
      <c r="F29" s="13"/>
    </row>
    <row r="30" spans="1:9" ht="33" customHeight="1" x14ac:dyDescent="0.25">
      <c r="A30" s="8">
        <v>5</v>
      </c>
      <c r="B30" s="2" t="s">
        <v>98</v>
      </c>
      <c r="C30" s="2"/>
      <c r="D30" s="2"/>
      <c r="E30" s="2"/>
      <c r="F30" s="13"/>
    </row>
    <row r="31" spans="1:9" ht="33" customHeight="1" x14ac:dyDescent="0.25">
      <c r="A31" s="8">
        <v>6</v>
      </c>
      <c r="B31" s="2" t="s">
        <v>99</v>
      </c>
      <c r="C31" s="2"/>
      <c r="D31" s="2"/>
      <c r="E31" s="2"/>
      <c r="F31" s="13"/>
    </row>
    <row r="32" spans="1:9" ht="33" customHeight="1" x14ac:dyDescent="0.25">
      <c r="A32" s="8">
        <v>7</v>
      </c>
      <c r="B32" s="2" t="s">
        <v>100</v>
      </c>
      <c r="C32" s="2"/>
      <c r="D32" s="2"/>
      <c r="E32" s="2"/>
      <c r="F32" s="13"/>
    </row>
    <row r="33" spans="1:6" ht="33" customHeight="1" x14ac:dyDescent="0.25">
      <c r="A33" s="8">
        <v>8</v>
      </c>
      <c r="B33" s="2" t="s">
        <v>101</v>
      </c>
      <c r="C33" s="2"/>
      <c r="D33" s="2"/>
      <c r="E33" s="2"/>
      <c r="F33" s="13"/>
    </row>
    <row r="34" spans="1:6" ht="33" customHeight="1" x14ac:dyDescent="0.25">
      <c r="A34" s="8">
        <v>9</v>
      </c>
      <c r="B34" s="2" t="s">
        <v>102</v>
      </c>
      <c r="C34" s="2"/>
      <c r="D34" s="2"/>
      <c r="E34" s="2"/>
      <c r="F34" s="13"/>
    </row>
    <row r="35" spans="1:6" ht="46.5" customHeight="1" x14ac:dyDescent="0.25">
      <c r="A35" s="8">
        <v>10</v>
      </c>
      <c r="B35" s="2" t="s">
        <v>103</v>
      </c>
      <c r="C35" s="2"/>
      <c r="D35" s="2"/>
      <c r="E35" s="2"/>
      <c r="F35" s="13"/>
    </row>
    <row r="36" spans="1:6" ht="19.5" customHeight="1" x14ac:dyDescent="0.25">
      <c r="A36" s="8">
        <v>11</v>
      </c>
      <c r="B36" s="2" t="s">
        <v>104</v>
      </c>
      <c r="C36" s="2"/>
      <c r="D36" s="2"/>
      <c r="E36" s="2"/>
      <c r="F36" s="13"/>
    </row>
    <row r="37" spans="1:6" ht="46.5" customHeight="1" x14ac:dyDescent="0.25">
      <c r="A37" s="8">
        <v>12</v>
      </c>
      <c r="B37" s="2" t="s">
        <v>105</v>
      </c>
      <c r="C37" s="2"/>
      <c r="D37" s="2"/>
      <c r="E37" s="2"/>
      <c r="F37" s="13"/>
    </row>
    <row r="38" spans="1:6" ht="33" customHeight="1" x14ac:dyDescent="0.25">
      <c r="A38" s="8">
        <v>13</v>
      </c>
      <c r="B38" s="2" t="s">
        <v>106</v>
      </c>
      <c r="C38" s="2"/>
      <c r="D38" s="2"/>
      <c r="E38" s="2"/>
      <c r="F38" s="13"/>
    </row>
    <row r="39" spans="1:6" ht="46.5" customHeight="1" x14ac:dyDescent="0.25">
      <c r="A39" s="8">
        <v>14</v>
      </c>
      <c r="B39" s="2" t="s">
        <v>107</v>
      </c>
      <c r="C39" s="2"/>
      <c r="D39" s="2"/>
      <c r="E39" s="2"/>
      <c r="F39" s="13"/>
    </row>
  </sheetData>
  <mergeCells count="17">
    <mergeCell ref="B38:E38"/>
    <mergeCell ref="B39:E39"/>
    <mergeCell ref="B33:E33"/>
    <mergeCell ref="B34:E34"/>
    <mergeCell ref="B35:E35"/>
    <mergeCell ref="B36:E36"/>
    <mergeCell ref="B37:E37"/>
    <mergeCell ref="B28:E28"/>
    <mergeCell ref="B29:E29"/>
    <mergeCell ref="B30:E30"/>
    <mergeCell ref="B31:E31"/>
    <mergeCell ref="B32:E32"/>
    <mergeCell ref="A1:I1"/>
    <mergeCell ref="A24:F24"/>
    <mergeCell ref="B25:E25"/>
    <mergeCell ref="B26:E26"/>
    <mergeCell ref="B27:E27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F6EA8"/>
  </sheetPr>
  <dimension ref="A1:H37"/>
  <sheetViews>
    <sheetView zoomScaleNormal="100" workbookViewId="0">
      <selection sqref="A1:H1"/>
    </sheetView>
  </sheetViews>
  <sheetFormatPr defaultColWidth="8.7109375" defaultRowHeight="15" x14ac:dyDescent="0.25"/>
  <cols>
    <col min="1" max="1" width="6" customWidth="1"/>
    <col min="2" max="2" width="18" customWidth="1"/>
    <col min="3" max="3" width="10" customWidth="1"/>
    <col min="4" max="4" width="14" customWidth="1"/>
    <col min="5" max="5" width="13" customWidth="1"/>
    <col min="6" max="6" width="18" customWidth="1"/>
    <col min="7" max="7" width="11" customWidth="1"/>
    <col min="8" max="8" width="14" customWidth="1"/>
  </cols>
  <sheetData>
    <row r="1" spans="1:8" ht="25.5" customHeight="1" x14ac:dyDescent="0.25">
      <c r="A1" s="5" t="s">
        <v>108</v>
      </c>
      <c r="B1" s="5"/>
      <c r="C1" s="5"/>
      <c r="D1" s="5"/>
      <c r="E1" s="5"/>
      <c r="F1" s="5"/>
      <c r="G1" s="5"/>
      <c r="H1" s="5"/>
    </row>
    <row r="2" spans="1:8" x14ac:dyDescent="0.25">
      <c r="A2" s="6" t="s">
        <v>1</v>
      </c>
    </row>
    <row r="3" spans="1:8" ht="30" customHeight="1" x14ac:dyDescent="0.25">
      <c r="A3" s="7" t="s">
        <v>2</v>
      </c>
      <c r="B3" s="7" t="s">
        <v>109</v>
      </c>
      <c r="C3" s="7" t="s">
        <v>110</v>
      </c>
      <c r="D3" s="7" t="s">
        <v>111</v>
      </c>
      <c r="E3" s="7" t="s">
        <v>112</v>
      </c>
      <c r="F3" s="7" t="s">
        <v>113</v>
      </c>
      <c r="G3" s="7" t="s">
        <v>114</v>
      </c>
      <c r="H3" s="7" t="s">
        <v>115</v>
      </c>
    </row>
    <row r="4" spans="1:8" x14ac:dyDescent="0.25">
      <c r="A4" s="8">
        <v>1</v>
      </c>
      <c r="B4" s="8" t="s">
        <v>116</v>
      </c>
      <c r="C4" s="8" t="s">
        <v>117</v>
      </c>
      <c r="D4" s="8" t="s">
        <v>118</v>
      </c>
      <c r="E4" s="8">
        <v>9</v>
      </c>
      <c r="F4" s="8">
        <v>8</v>
      </c>
      <c r="G4" s="8">
        <v>1</v>
      </c>
      <c r="H4" s="15"/>
    </row>
    <row r="5" spans="1:8" x14ac:dyDescent="0.25">
      <c r="A5" s="8">
        <v>2</v>
      </c>
      <c r="B5" s="8" t="s">
        <v>119</v>
      </c>
      <c r="C5" s="8" t="s">
        <v>117</v>
      </c>
      <c r="D5" s="8" t="s">
        <v>120</v>
      </c>
      <c r="E5" s="8">
        <v>7</v>
      </c>
      <c r="F5" s="8">
        <v>8</v>
      </c>
      <c r="G5" s="8">
        <v>0</v>
      </c>
      <c r="H5" s="15"/>
    </row>
    <row r="6" spans="1:8" x14ac:dyDescent="0.25">
      <c r="A6" s="8">
        <v>3</v>
      </c>
      <c r="B6" s="8" t="s">
        <v>121</v>
      </c>
      <c r="C6" s="8" t="s">
        <v>122</v>
      </c>
      <c r="D6" s="8" t="s">
        <v>118</v>
      </c>
      <c r="E6" s="8">
        <v>4</v>
      </c>
      <c r="F6" s="8">
        <v>6</v>
      </c>
      <c r="G6" s="8">
        <v>5</v>
      </c>
      <c r="H6" s="15"/>
    </row>
    <row r="7" spans="1:8" x14ac:dyDescent="0.25">
      <c r="A7" s="8">
        <v>4</v>
      </c>
      <c r="B7" s="8" t="s">
        <v>123</v>
      </c>
      <c r="C7" s="8" t="s">
        <v>122</v>
      </c>
      <c r="D7" s="8" t="s">
        <v>124</v>
      </c>
      <c r="E7" s="8">
        <v>10</v>
      </c>
      <c r="F7" s="8">
        <v>10</v>
      </c>
      <c r="G7" s="8">
        <v>0</v>
      </c>
      <c r="H7" s="15"/>
    </row>
    <row r="8" spans="1:8" x14ac:dyDescent="0.25">
      <c r="A8" s="8">
        <v>5</v>
      </c>
      <c r="B8" s="8" t="s">
        <v>125</v>
      </c>
      <c r="C8" s="8" t="s">
        <v>126</v>
      </c>
      <c r="D8" s="8" t="s">
        <v>127</v>
      </c>
      <c r="E8" s="8">
        <v>8</v>
      </c>
      <c r="F8" s="8">
        <v>9</v>
      </c>
      <c r="G8" s="8">
        <v>2</v>
      </c>
      <c r="H8" s="15"/>
    </row>
    <row r="9" spans="1:8" x14ac:dyDescent="0.25">
      <c r="A9" s="8">
        <v>6</v>
      </c>
      <c r="B9" s="8" t="s">
        <v>128</v>
      </c>
      <c r="C9" s="8" t="s">
        <v>126</v>
      </c>
      <c r="D9" s="8" t="s">
        <v>129</v>
      </c>
      <c r="E9" s="8">
        <v>6</v>
      </c>
      <c r="F9" s="8">
        <v>4</v>
      </c>
      <c r="G9" s="8">
        <v>3</v>
      </c>
      <c r="H9" s="15"/>
    </row>
    <row r="10" spans="1:8" x14ac:dyDescent="0.25">
      <c r="A10" s="8">
        <v>7</v>
      </c>
      <c r="B10" s="8" t="s">
        <v>130</v>
      </c>
      <c r="C10" s="8" t="s">
        <v>117</v>
      </c>
      <c r="D10" s="8" t="s">
        <v>118</v>
      </c>
      <c r="E10" s="8">
        <v>5</v>
      </c>
      <c r="F10" s="8">
        <v>7</v>
      </c>
      <c r="G10" s="8">
        <v>4</v>
      </c>
      <c r="H10" s="15"/>
    </row>
    <row r="11" spans="1:8" x14ac:dyDescent="0.25">
      <c r="A11" s="8">
        <v>8</v>
      </c>
      <c r="B11" s="8" t="s">
        <v>131</v>
      </c>
      <c r="C11" s="8" t="s">
        <v>122</v>
      </c>
      <c r="D11" s="8" t="s">
        <v>120</v>
      </c>
      <c r="E11" s="8">
        <v>9</v>
      </c>
      <c r="F11" s="8">
        <v>9</v>
      </c>
      <c r="G11" s="8">
        <v>1</v>
      </c>
      <c r="H11" s="15"/>
    </row>
    <row r="12" spans="1:8" x14ac:dyDescent="0.25">
      <c r="A12" s="8">
        <v>9</v>
      </c>
      <c r="B12" s="8" t="s">
        <v>132</v>
      </c>
      <c r="C12" s="8" t="s">
        <v>126</v>
      </c>
      <c r="D12" s="8" t="s">
        <v>124</v>
      </c>
      <c r="E12" s="8">
        <v>8</v>
      </c>
      <c r="F12" s="8">
        <v>9</v>
      </c>
      <c r="G12" s="8">
        <v>0</v>
      </c>
      <c r="H12" s="15"/>
    </row>
    <row r="13" spans="1:8" x14ac:dyDescent="0.25">
      <c r="A13" s="8">
        <v>10</v>
      </c>
      <c r="B13" s="8" t="s">
        <v>133</v>
      </c>
      <c r="C13" s="8" t="s">
        <v>134</v>
      </c>
      <c r="D13" s="8" t="s">
        <v>127</v>
      </c>
      <c r="E13" s="8">
        <v>10</v>
      </c>
      <c r="F13" s="8">
        <v>10</v>
      </c>
      <c r="G13" s="8">
        <v>0</v>
      </c>
      <c r="H13" s="15"/>
    </row>
    <row r="14" spans="1:8" x14ac:dyDescent="0.25">
      <c r="A14" s="8">
        <v>11</v>
      </c>
      <c r="B14" s="8" t="s">
        <v>135</v>
      </c>
      <c r="C14" s="8" t="s">
        <v>134</v>
      </c>
      <c r="D14" s="8" t="s">
        <v>129</v>
      </c>
      <c r="E14" s="8">
        <v>3</v>
      </c>
      <c r="F14" s="8">
        <v>5</v>
      </c>
      <c r="G14" s="8">
        <v>6</v>
      </c>
      <c r="H14" s="15"/>
    </row>
    <row r="15" spans="1:8" x14ac:dyDescent="0.25">
      <c r="A15" s="8">
        <v>12</v>
      </c>
      <c r="B15" s="8" t="s">
        <v>136</v>
      </c>
      <c r="C15" s="8" t="s">
        <v>117</v>
      </c>
      <c r="D15" s="8" t="s">
        <v>118</v>
      </c>
      <c r="E15" s="8">
        <v>7</v>
      </c>
      <c r="F15" s="8">
        <v>9</v>
      </c>
      <c r="G15" s="8">
        <v>2</v>
      </c>
      <c r="H15" s="15"/>
    </row>
    <row r="16" spans="1:8" x14ac:dyDescent="0.25">
      <c r="A16" s="8">
        <v>13</v>
      </c>
      <c r="B16" s="8" t="s">
        <v>137</v>
      </c>
      <c r="C16" s="8" t="s">
        <v>122</v>
      </c>
      <c r="D16" s="8" t="s">
        <v>120</v>
      </c>
      <c r="E16" s="8">
        <v>6</v>
      </c>
      <c r="F16" s="8">
        <v>5</v>
      </c>
      <c r="G16" s="8">
        <v>3</v>
      </c>
      <c r="H16" s="15"/>
    </row>
    <row r="17" spans="1:8" x14ac:dyDescent="0.25">
      <c r="A17" s="8">
        <v>14</v>
      </c>
      <c r="B17" s="8" t="s">
        <v>138</v>
      </c>
      <c r="C17" s="8" t="s">
        <v>126</v>
      </c>
      <c r="D17" s="8" t="s">
        <v>124</v>
      </c>
      <c r="E17" s="8">
        <v>9</v>
      </c>
      <c r="F17" s="8">
        <v>10</v>
      </c>
      <c r="G17" s="8">
        <v>1</v>
      </c>
      <c r="H17" s="15"/>
    </row>
    <row r="18" spans="1:8" x14ac:dyDescent="0.25">
      <c r="A18" s="8">
        <v>15</v>
      </c>
      <c r="B18" s="8" t="s">
        <v>139</v>
      </c>
      <c r="C18" s="8" t="s">
        <v>134</v>
      </c>
      <c r="D18" s="8" t="s">
        <v>127</v>
      </c>
      <c r="E18" s="8">
        <v>7</v>
      </c>
      <c r="F18" s="8">
        <v>8</v>
      </c>
      <c r="G18" s="8">
        <v>2</v>
      </c>
      <c r="H18" s="15"/>
    </row>
    <row r="19" spans="1:8" x14ac:dyDescent="0.25">
      <c r="A19" s="8">
        <v>16</v>
      </c>
      <c r="B19" s="8" t="s">
        <v>140</v>
      </c>
      <c r="C19" s="8" t="s">
        <v>117</v>
      </c>
      <c r="D19" s="8" t="s">
        <v>129</v>
      </c>
      <c r="E19" s="8">
        <v>8</v>
      </c>
      <c r="F19" s="8">
        <v>8</v>
      </c>
      <c r="G19" s="8">
        <v>1</v>
      </c>
      <c r="H19" s="15"/>
    </row>
    <row r="20" spans="1:8" x14ac:dyDescent="0.25">
      <c r="A20" s="8">
        <v>17</v>
      </c>
      <c r="B20" s="8" t="s">
        <v>141</v>
      </c>
      <c r="C20" s="8" t="s">
        <v>126</v>
      </c>
      <c r="D20" s="8" t="s">
        <v>118</v>
      </c>
      <c r="E20" s="8">
        <v>10</v>
      </c>
      <c r="F20" s="8">
        <v>9</v>
      </c>
      <c r="G20" s="8">
        <v>0</v>
      </c>
      <c r="H20" s="15"/>
    </row>
    <row r="21" spans="1:8" x14ac:dyDescent="0.25">
      <c r="A21" s="8">
        <v>18</v>
      </c>
      <c r="B21" s="8" t="s">
        <v>142</v>
      </c>
      <c r="C21" s="8" t="s">
        <v>134</v>
      </c>
      <c r="D21" s="8" t="s">
        <v>120</v>
      </c>
      <c r="E21" s="8">
        <v>4</v>
      </c>
      <c r="F21" s="8">
        <v>3</v>
      </c>
      <c r="G21" s="8">
        <v>5</v>
      </c>
      <c r="H21" s="15"/>
    </row>
    <row r="24" spans="1:8" ht="15" customHeight="1" x14ac:dyDescent="0.25">
      <c r="A24" s="4" t="s">
        <v>143</v>
      </c>
      <c r="B24" s="4"/>
      <c r="C24" s="4"/>
      <c r="D24" s="4"/>
      <c r="E24" s="4"/>
      <c r="F24" s="4"/>
    </row>
    <row r="25" spans="1:8" ht="15" customHeight="1" x14ac:dyDescent="0.25">
      <c r="A25" s="12" t="s">
        <v>2</v>
      </c>
      <c r="B25" s="3" t="s">
        <v>27</v>
      </c>
      <c r="C25" s="3"/>
      <c r="D25" s="3"/>
      <c r="E25" s="3"/>
      <c r="F25" s="12" t="s">
        <v>28</v>
      </c>
    </row>
    <row r="26" spans="1:8" ht="33" customHeight="1" x14ac:dyDescent="0.25">
      <c r="A26" s="8">
        <v>1</v>
      </c>
      <c r="B26" s="2" t="s">
        <v>144</v>
      </c>
      <c r="C26" s="2"/>
      <c r="D26" s="2"/>
      <c r="E26" s="2"/>
      <c r="F26" s="13"/>
    </row>
    <row r="27" spans="1:8" ht="19.5" customHeight="1" x14ac:dyDescent="0.25">
      <c r="A27" s="8">
        <v>2</v>
      </c>
      <c r="B27" s="2" t="s">
        <v>145</v>
      </c>
      <c r="C27" s="2"/>
      <c r="D27" s="2"/>
      <c r="E27" s="2"/>
      <c r="F27" s="13"/>
    </row>
    <row r="28" spans="1:8" ht="33" customHeight="1" x14ac:dyDescent="0.25">
      <c r="A28" s="8">
        <v>3</v>
      </c>
      <c r="B28" s="2" t="s">
        <v>146</v>
      </c>
      <c r="C28" s="2"/>
      <c r="D28" s="2"/>
      <c r="E28" s="2"/>
      <c r="F28" s="13"/>
    </row>
    <row r="29" spans="1:8" ht="33" customHeight="1" x14ac:dyDescent="0.25">
      <c r="A29" s="8">
        <v>4</v>
      </c>
      <c r="B29" s="2" t="s">
        <v>147</v>
      </c>
      <c r="C29" s="2"/>
      <c r="D29" s="2"/>
      <c r="E29" s="2"/>
      <c r="F29" s="13"/>
    </row>
    <row r="30" spans="1:8" ht="33" customHeight="1" x14ac:dyDescent="0.25">
      <c r="A30" s="8">
        <v>5</v>
      </c>
      <c r="B30" s="2" t="s">
        <v>148</v>
      </c>
      <c r="C30" s="2"/>
      <c r="D30" s="2"/>
      <c r="E30" s="2"/>
      <c r="F30" s="13"/>
    </row>
    <row r="31" spans="1:8" ht="33" customHeight="1" x14ac:dyDescent="0.25">
      <c r="A31" s="8">
        <v>6</v>
      </c>
      <c r="B31" s="2" t="s">
        <v>149</v>
      </c>
      <c r="C31" s="2"/>
      <c r="D31" s="2"/>
      <c r="E31" s="2"/>
      <c r="F31" s="13"/>
    </row>
    <row r="32" spans="1:8" ht="33" customHeight="1" x14ac:dyDescent="0.25">
      <c r="A32" s="8">
        <v>7</v>
      </c>
      <c r="B32" s="2" t="s">
        <v>150</v>
      </c>
      <c r="C32" s="2"/>
      <c r="D32" s="2"/>
      <c r="E32" s="2"/>
      <c r="F32" s="13"/>
    </row>
    <row r="33" spans="1:6" ht="46.5" customHeight="1" x14ac:dyDescent="0.25">
      <c r="A33" s="8">
        <v>8</v>
      </c>
      <c r="B33" s="2" t="s">
        <v>151</v>
      </c>
      <c r="C33" s="2"/>
      <c r="D33" s="2"/>
      <c r="E33" s="2"/>
      <c r="F33" s="13"/>
    </row>
    <row r="34" spans="1:6" ht="33" customHeight="1" x14ac:dyDescent="0.25">
      <c r="A34" s="8">
        <v>9</v>
      </c>
      <c r="B34" s="2" t="s">
        <v>152</v>
      </c>
      <c r="C34" s="2"/>
      <c r="D34" s="2"/>
      <c r="E34" s="2"/>
      <c r="F34" s="13"/>
    </row>
    <row r="35" spans="1:6" ht="33" customHeight="1" x14ac:dyDescent="0.25">
      <c r="A35" s="8">
        <v>10</v>
      </c>
      <c r="B35" s="2" t="s">
        <v>153</v>
      </c>
      <c r="C35" s="2"/>
      <c r="D35" s="2"/>
      <c r="E35" s="2"/>
      <c r="F35" s="13"/>
    </row>
    <row r="36" spans="1:6" ht="46.5" customHeight="1" x14ac:dyDescent="0.25">
      <c r="A36" s="8">
        <v>11</v>
      </c>
      <c r="B36" s="2" t="s">
        <v>154</v>
      </c>
      <c r="C36" s="2"/>
      <c r="D36" s="2"/>
      <c r="E36" s="2"/>
      <c r="F36" s="13"/>
    </row>
    <row r="37" spans="1:6" ht="46.5" customHeight="1" x14ac:dyDescent="0.25">
      <c r="A37" s="8">
        <v>12</v>
      </c>
      <c r="B37" s="2" t="s">
        <v>155</v>
      </c>
      <c r="C37" s="2"/>
      <c r="D37" s="2"/>
      <c r="E37" s="2"/>
      <c r="F37" s="13"/>
    </row>
  </sheetData>
  <mergeCells count="15">
    <mergeCell ref="B33:E33"/>
    <mergeCell ref="B34:E34"/>
    <mergeCell ref="B35:E35"/>
    <mergeCell ref="B36:E36"/>
    <mergeCell ref="B37:E37"/>
    <mergeCell ref="B28:E28"/>
    <mergeCell ref="B29:E29"/>
    <mergeCell ref="B30:E30"/>
    <mergeCell ref="B31:E31"/>
    <mergeCell ref="B32:E32"/>
    <mergeCell ref="A1:H1"/>
    <mergeCell ref="A24:F24"/>
    <mergeCell ref="B25:E25"/>
    <mergeCell ref="B26:E26"/>
    <mergeCell ref="B27:E27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F6EA8"/>
  </sheetPr>
  <dimension ref="A1:G41"/>
  <sheetViews>
    <sheetView zoomScaleNormal="100" workbookViewId="0">
      <selection sqref="A1:G1"/>
    </sheetView>
  </sheetViews>
  <sheetFormatPr defaultColWidth="8.7109375" defaultRowHeight="15" x14ac:dyDescent="0.25"/>
  <cols>
    <col min="1" max="1" width="6" customWidth="1"/>
    <col min="2" max="2" width="13" customWidth="1"/>
    <col min="3" max="3" width="15" customWidth="1"/>
    <col min="4" max="4" width="26" customWidth="1"/>
    <col min="5" max="5" width="14" customWidth="1"/>
    <col min="6" max="6" width="18" customWidth="1"/>
    <col min="7" max="7" width="11" customWidth="1"/>
  </cols>
  <sheetData>
    <row r="1" spans="1:7" ht="25.5" customHeight="1" x14ac:dyDescent="0.25">
      <c r="A1" s="5" t="s">
        <v>156</v>
      </c>
      <c r="B1" s="5"/>
      <c r="C1" s="5"/>
      <c r="D1" s="5"/>
      <c r="E1" s="5"/>
      <c r="F1" s="5"/>
      <c r="G1" s="5"/>
    </row>
    <row r="2" spans="1:7" x14ac:dyDescent="0.25">
      <c r="A2" s="6" t="s">
        <v>1</v>
      </c>
    </row>
    <row r="3" spans="1:7" ht="30" customHeight="1" x14ac:dyDescent="0.25">
      <c r="A3" s="7" t="s">
        <v>2</v>
      </c>
      <c r="B3" s="7" t="s">
        <v>3</v>
      </c>
      <c r="C3" s="7" t="s">
        <v>5</v>
      </c>
      <c r="D3" s="7" t="s">
        <v>157</v>
      </c>
      <c r="E3" s="7" t="s">
        <v>158</v>
      </c>
      <c r="F3" s="7" t="s">
        <v>159</v>
      </c>
      <c r="G3" s="7" t="s">
        <v>160</v>
      </c>
    </row>
    <row r="4" spans="1:7" x14ac:dyDescent="0.25">
      <c r="A4" s="8">
        <v>1</v>
      </c>
      <c r="B4" s="9">
        <v>46025</v>
      </c>
      <c r="C4" s="8" t="s">
        <v>161</v>
      </c>
      <c r="D4" s="8" t="s">
        <v>162</v>
      </c>
      <c r="E4" s="10">
        <v>342.5</v>
      </c>
      <c r="F4" s="8" t="s">
        <v>163</v>
      </c>
      <c r="G4" s="8" t="s">
        <v>164</v>
      </c>
    </row>
    <row r="5" spans="1:7" x14ac:dyDescent="0.25">
      <c r="A5" s="8">
        <v>2</v>
      </c>
      <c r="B5" s="9">
        <v>46027</v>
      </c>
      <c r="C5" s="8" t="s">
        <v>165</v>
      </c>
      <c r="D5" s="8" t="s">
        <v>166</v>
      </c>
      <c r="E5" s="10">
        <v>210</v>
      </c>
      <c r="F5" s="8" t="s">
        <v>163</v>
      </c>
      <c r="G5" s="8" t="s">
        <v>164</v>
      </c>
    </row>
    <row r="6" spans="1:7" x14ac:dyDescent="0.25">
      <c r="A6" s="8">
        <v>3</v>
      </c>
      <c r="B6" s="9">
        <v>46030</v>
      </c>
      <c r="C6" s="8" t="s">
        <v>167</v>
      </c>
      <c r="D6" s="8" t="s">
        <v>168</v>
      </c>
      <c r="E6" s="10">
        <v>80</v>
      </c>
      <c r="F6" s="8" t="s">
        <v>169</v>
      </c>
      <c r="G6" s="8" t="s">
        <v>164</v>
      </c>
    </row>
    <row r="7" spans="1:7" x14ac:dyDescent="0.25">
      <c r="A7" s="8">
        <v>4</v>
      </c>
      <c r="B7" s="9">
        <v>46034</v>
      </c>
      <c r="C7" s="8" t="s">
        <v>170</v>
      </c>
      <c r="D7" s="8" t="s">
        <v>171</v>
      </c>
      <c r="E7" s="10">
        <v>65</v>
      </c>
      <c r="F7" s="8" t="s">
        <v>163</v>
      </c>
      <c r="G7" s="8" t="s">
        <v>172</v>
      </c>
    </row>
    <row r="8" spans="1:7" x14ac:dyDescent="0.25">
      <c r="A8" s="8">
        <v>5</v>
      </c>
      <c r="B8" s="9">
        <v>46037</v>
      </c>
      <c r="C8" s="8" t="s">
        <v>173</v>
      </c>
      <c r="D8" s="8" t="s">
        <v>174</v>
      </c>
      <c r="E8" s="10">
        <v>1500</v>
      </c>
      <c r="F8" s="8" t="s">
        <v>163</v>
      </c>
      <c r="G8" s="8" t="s">
        <v>164</v>
      </c>
    </row>
    <row r="9" spans="1:7" x14ac:dyDescent="0.25">
      <c r="A9" s="8">
        <v>6</v>
      </c>
      <c r="B9" s="9">
        <v>46042</v>
      </c>
      <c r="C9" s="8" t="s">
        <v>161</v>
      </c>
      <c r="D9" s="8" t="s">
        <v>175</v>
      </c>
      <c r="E9" s="10">
        <v>120</v>
      </c>
      <c r="F9" s="8" t="s">
        <v>169</v>
      </c>
      <c r="G9" s="8" t="s">
        <v>164</v>
      </c>
    </row>
    <row r="10" spans="1:7" x14ac:dyDescent="0.25">
      <c r="A10" s="8">
        <v>7</v>
      </c>
      <c r="B10" s="9">
        <v>46047</v>
      </c>
      <c r="C10" s="8" t="s">
        <v>176</v>
      </c>
      <c r="D10" s="8" t="s">
        <v>177</v>
      </c>
      <c r="E10" s="10">
        <v>95.4</v>
      </c>
      <c r="F10" s="8" t="s">
        <v>163</v>
      </c>
      <c r="G10" s="8" t="s">
        <v>164</v>
      </c>
    </row>
    <row r="11" spans="1:7" x14ac:dyDescent="0.25">
      <c r="A11" s="8">
        <v>8</v>
      </c>
      <c r="B11" s="9">
        <v>46050</v>
      </c>
      <c r="C11" s="8" t="s">
        <v>178</v>
      </c>
      <c r="D11" s="8" t="s">
        <v>179</v>
      </c>
      <c r="E11" s="10">
        <v>380</v>
      </c>
      <c r="F11" s="8" t="s">
        <v>163</v>
      </c>
      <c r="G11" s="8" t="s">
        <v>172</v>
      </c>
    </row>
    <row r="12" spans="1:7" x14ac:dyDescent="0.25">
      <c r="A12" s="8">
        <v>9</v>
      </c>
      <c r="B12" s="9">
        <v>46055</v>
      </c>
      <c r="C12" s="8" t="s">
        <v>161</v>
      </c>
      <c r="D12" s="8" t="s">
        <v>162</v>
      </c>
      <c r="E12" s="10">
        <v>310</v>
      </c>
      <c r="F12" s="8" t="s">
        <v>163</v>
      </c>
      <c r="G12" s="8" t="s">
        <v>164</v>
      </c>
    </row>
    <row r="13" spans="1:7" x14ac:dyDescent="0.25">
      <c r="A13" s="8">
        <v>10</v>
      </c>
      <c r="B13" s="9">
        <v>46058</v>
      </c>
      <c r="C13" s="8" t="s">
        <v>165</v>
      </c>
      <c r="D13" s="8" t="s">
        <v>180</v>
      </c>
      <c r="E13" s="10">
        <v>60</v>
      </c>
      <c r="F13" s="8" t="s">
        <v>163</v>
      </c>
      <c r="G13" s="8" t="s">
        <v>164</v>
      </c>
    </row>
    <row r="14" spans="1:7" x14ac:dyDescent="0.25">
      <c r="A14" s="8">
        <v>11</v>
      </c>
      <c r="B14" s="9">
        <v>46062</v>
      </c>
      <c r="C14" s="8" t="s">
        <v>167</v>
      </c>
      <c r="D14" s="8" t="s">
        <v>181</v>
      </c>
      <c r="E14" s="10">
        <v>250</v>
      </c>
      <c r="F14" s="8" t="s">
        <v>163</v>
      </c>
      <c r="G14" s="8" t="s">
        <v>164</v>
      </c>
    </row>
    <row r="15" spans="1:7" x14ac:dyDescent="0.25">
      <c r="A15" s="8">
        <v>12</v>
      </c>
      <c r="B15" s="9">
        <v>46067</v>
      </c>
      <c r="C15" s="8" t="s">
        <v>170</v>
      </c>
      <c r="D15" s="8" t="s">
        <v>182</v>
      </c>
      <c r="E15" s="10">
        <v>180</v>
      </c>
      <c r="F15" s="8" t="s">
        <v>163</v>
      </c>
      <c r="G15" s="8" t="s">
        <v>172</v>
      </c>
    </row>
    <row r="16" spans="1:7" x14ac:dyDescent="0.25">
      <c r="A16" s="8">
        <v>13</v>
      </c>
      <c r="B16" s="9">
        <v>46068</v>
      </c>
      <c r="C16" s="8" t="s">
        <v>173</v>
      </c>
      <c r="D16" s="8" t="s">
        <v>183</v>
      </c>
      <c r="E16" s="10">
        <v>1500</v>
      </c>
      <c r="F16" s="8" t="s">
        <v>163</v>
      </c>
      <c r="G16" s="8" t="s">
        <v>164</v>
      </c>
    </row>
    <row r="17" spans="1:7" x14ac:dyDescent="0.25">
      <c r="A17" s="8">
        <v>14</v>
      </c>
      <c r="B17" s="9">
        <v>46074</v>
      </c>
      <c r="C17" s="8" t="s">
        <v>176</v>
      </c>
      <c r="D17" s="8" t="s">
        <v>184</v>
      </c>
      <c r="E17" s="10">
        <v>150</v>
      </c>
      <c r="F17" s="8" t="s">
        <v>169</v>
      </c>
      <c r="G17" s="8" t="s">
        <v>164</v>
      </c>
    </row>
    <row r="18" spans="1:7" x14ac:dyDescent="0.25">
      <c r="A18" s="8">
        <v>15</v>
      </c>
      <c r="B18" s="9">
        <v>46082</v>
      </c>
      <c r="C18" s="8" t="s">
        <v>161</v>
      </c>
      <c r="D18" s="8" t="s">
        <v>162</v>
      </c>
      <c r="E18" s="10">
        <v>355.8</v>
      </c>
      <c r="F18" s="8" t="s">
        <v>163</v>
      </c>
      <c r="G18" s="8" t="s">
        <v>164</v>
      </c>
    </row>
    <row r="19" spans="1:7" x14ac:dyDescent="0.25">
      <c r="A19" s="8">
        <v>16</v>
      </c>
      <c r="B19" s="9">
        <v>46085</v>
      </c>
      <c r="C19" s="8" t="s">
        <v>165</v>
      </c>
      <c r="D19" s="8" t="s">
        <v>185</v>
      </c>
      <c r="E19" s="10">
        <v>275</v>
      </c>
      <c r="F19" s="8" t="s">
        <v>163</v>
      </c>
      <c r="G19" s="8" t="s">
        <v>164</v>
      </c>
    </row>
    <row r="20" spans="1:7" x14ac:dyDescent="0.25">
      <c r="A20" s="8">
        <v>17</v>
      </c>
      <c r="B20" s="9">
        <v>46091</v>
      </c>
      <c r="C20" s="8" t="s">
        <v>167</v>
      </c>
      <c r="D20" s="8" t="s">
        <v>186</v>
      </c>
      <c r="E20" s="10">
        <v>620</v>
      </c>
      <c r="F20" s="8" t="s">
        <v>169</v>
      </c>
      <c r="G20" s="8" t="s">
        <v>164</v>
      </c>
    </row>
    <row r="21" spans="1:7" x14ac:dyDescent="0.25">
      <c r="A21" s="8">
        <v>18</v>
      </c>
      <c r="B21" s="9">
        <v>46096</v>
      </c>
      <c r="C21" s="8" t="s">
        <v>173</v>
      </c>
      <c r="D21" s="8" t="s">
        <v>187</v>
      </c>
      <c r="E21" s="10">
        <v>1500</v>
      </c>
      <c r="F21" s="8" t="s">
        <v>163</v>
      </c>
      <c r="G21" s="8" t="s">
        <v>164</v>
      </c>
    </row>
    <row r="22" spans="1:7" x14ac:dyDescent="0.25">
      <c r="A22" s="8">
        <v>19</v>
      </c>
      <c r="B22" s="9">
        <v>46100</v>
      </c>
      <c r="C22" s="8" t="s">
        <v>170</v>
      </c>
      <c r="D22" s="8" t="s">
        <v>188</v>
      </c>
      <c r="E22" s="10">
        <v>120</v>
      </c>
      <c r="F22" s="8" t="s">
        <v>163</v>
      </c>
      <c r="G22" s="8" t="s">
        <v>172</v>
      </c>
    </row>
    <row r="23" spans="1:7" x14ac:dyDescent="0.25">
      <c r="A23" s="8">
        <v>20</v>
      </c>
      <c r="B23" s="9">
        <v>46108</v>
      </c>
      <c r="C23" s="8" t="s">
        <v>178</v>
      </c>
      <c r="D23" s="8" t="s">
        <v>189</v>
      </c>
      <c r="E23" s="10">
        <v>290</v>
      </c>
      <c r="F23" s="8" t="s">
        <v>163</v>
      </c>
      <c r="G23" s="8" t="s">
        <v>172</v>
      </c>
    </row>
    <row r="26" spans="1:7" ht="15" customHeight="1" x14ac:dyDescent="0.25">
      <c r="A26" s="4" t="s">
        <v>190</v>
      </c>
      <c r="B26" s="4"/>
      <c r="C26" s="4"/>
      <c r="D26" s="4"/>
      <c r="E26" s="4"/>
      <c r="F26" s="4"/>
    </row>
    <row r="27" spans="1:7" ht="15" customHeight="1" x14ac:dyDescent="0.25">
      <c r="A27" s="12" t="s">
        <v>2</v>
      </c>
      <c r="B27" s="3" t="s">
        <v>27</v>
      </c>
      <c r="C27" s="3"/>
      <c r="D27" s="3"/>
      <c r="E27" s="3"/>
      <c r="F27" s="12" t="s">
        <v>28</v>
      </c>
    </row>
    <row r="28" spans="1:7" ht="19.5" customHeight="1" x14ac:dyDescent="0.25">
      <c r="A28" s="8">
        <v>1</v>
      </c>
      <c r="B28" s="2" t="s">
        <v>191</v>
      </c>
      <c r="C28" s="2"/>
      <c r="D28" s="2"/>
      <c r="E28" s="2"/>
      <c r="F28" s="13"/>
    </row>
    <row r="29" spans="1:7" ht="19.5" customHeight="1" x14ac:dyDescent="0.25">
      <c r="A29" s="8">
        <v>2</v>
      </c>
      <c r="B29" s="2" t="s">
        <v>192</v>
      </c>
      <c r="C29" s="2"/>
      <c r="D29" s="2"/>
      <c r="E29" s="2"/>
      <c r="F29" s="13"/>
    </row>
    <row r="30" spans="1:7" ht="19.5" customHeight="1" x14ac:dyDescent="0.25">
      <c r="A30" s="8">
        <v>3</v>
      </c>
      <c r="B30" s="2" t="s">
        <v>193</v>
      </c>
      <c r="C30" s="2"/>
      <c r="D30" s="2"/>
      <c r="E30" s="2"/>
      <c r="F30" s="13"/>
    </row>
    <row r="31" spans="1:7" ht="19.5" customHeight="1" x14ac:dyDescent="0.25">
      <c r="A31" s="8">
        <v>4</v>
      </c>
      <c r="B31" s="2" t="s">
        <v>194</v>
      </c>
      <c r="C31" s="2"/>
      <c r="D31" s="2"/>
      <c r="E31" s="2"/>
      <c r="F31" s="13"/>
    </row>
    <row r="32" spans="1:7" ht="33" customHeight="1" x14ac:dyDescent="0.25">
      <c r="A32" s="8">
        <v>5</v>
      </c>
      <c r="B32" s="2" t="s">
        <v>195</v>
      </c>
      <c r="C32" s="2"/>
      <c r="D32" s="2"/>
      <c r="E32" s="2"/>
      <c r="F32" s="13"/>
    </row>
    <row r="33" spans="1:6" ht="33" customHeight="1" x14ac:dyDescent="0.25">
      <c r="A33" s="8">
        <v>6</v>
      </c>
      <c r="B33" s="2" t="s">
        <v>196</v>
      </c>
      <c r="C33" s="2"/>
      <c r="D33" s="2"/>
      <c r="E33" s="2"/>
      <c r="F33" s="13"/>
    </row>
    <row r="34" spans="1:6" ht="33" customHeight="1" x14ac:dyDescent="0.25">
      <c r="A34" s="8">
        <v>7</v>
      </c>
      <c r="B34" s="2" t="s">
        <v>197</v>
      </c>
      <c r="C34" s="2"/>
      <c r="D34" s="2"/>
      <c r="E34" s="2"/>
      <c r="F34" s="13"/>
    </row>
    <row r="35" spans="1:6" ht="33" customHeight="1" x14ac:dyDescent="0.25">
      <c r="A35" s="8">
        <v>8</v>
      </c>
      <c r="B35" s="2" t="s">
        <v>198</v>
      </c>
      <c r="C35" s="2"/>
      <c r="D35" s="2"/>
      <c r="E35" s="2"/>
      <c r="F35" s="13"/>
    </row>
    <row r="36" spans="1:6" ht="33" customHeight="1" x14ac:dyDescent="0.25">
      <c r="A36" s="8">
        <v>9</v>
      </c>
      <c r="B36" s="2" t="s">
        <v>199</v>
      </c>
      <c r="C36" s="2"/>
      <c r="D36" s="2"/>
      <c r="E36" s="2"/>
      <c r="F36" s="13"/>
    </row>
    <row r="37" spans="1:6" ht="33" customHeight="1" x14ac:dyDescent="0.25">
      <c r="A37" s="8">
        <v>10</v>
      </c>
      <c r="B37" s="2" t="s">
        <v>200</v>
      </c>
      <c r="C37" s="2"/>
      <c r="D37" s="2"/>
      <c r="E37" s="2"/>
      <c r="F37" s="13"/>
    </row>
    <row r="38" spans="1:6" ht="19.5" customHeight="1" x14ac:dyDescent="0.25">
      <c r="A38" s="8">
        <v>11</v>
      </c>
      <c r="B38" s="2" t="s">
        <v>201</v>
      </c>
      <c r="C38" s="2"/>
      <c r="D38" s="2"/>
      <c r="E38" s="2"/>
      <c r="F38" s="13"/>
    </row>
    <row r="39" spans="1:6" ht="33" customHeight="1" x14ac:dyDescent="0.25">
      <c r="A39" s="8">
        <v>12</v>
      </c>
      <c r="B39" s="2" t="s">
        <v>202</v>
      </c>
      <c r="C39" s="2"/>
      <c r="D39" s="2"/>
      <c r="E39" s="2"/>
      <c r="F39" s="13"/>
    </row>
    <row r="40" spans="1:6" ht="33" customHeight="1" x14ac:dyDescent="0.25">
      <c r="A40" s="8">
        <v>13</v>
      </c>
      <c r="B40" s="2" t="s">
        <v>203</v>
      </c>
      <c r="C40" s="2"/>
      <c r="D40" s="2"/>
      <c r="E40" s="2"/>
      <c r="F40" s="13"/>
    </row>
    <row r="41" spans="1:6" ht="33" customHeight="1" x14ac:dyDescent="0.25">
      <c r="A41" s="8">
        <v>14</v>
      </c>
      <c r="B41" s="2" t="s">
        <v>204</v>
      </c>
      <c r="C41" s="2"/>
      <c r="D41" s="2"/>
      <c r="E41" s="2"/>
      <c r="F41" s="13"/>
    </row>
  </sheetData>
  <mergeCells count="17">
    <mergeCell ref="B40:E40"/>
    <mergeCell ref="B41:E41"/>
    <mergeCell ref="B35:E35"/>
    <mergeCell ref="B36:E36"/>
    <mergeCell ref="B37:E37"/>
    <mergeCell ref="B38:E38"/>
    <mergeCell ref="B39:E39"/>
    <mergeCell ref="B30:E30"/>
    <mergeCell ref="B31:E31"/>
    <mergeCell ref="B32:E32"/>
    <mergeCell ref="B33:E33"/>
    <mergeCell ref="B34:E34"/>
    <mergeCell ref="A1:G1"/>
    <mergeCell ref="A26:F26"/>
    <mergeCell ref="B27:E27"/>
    <mergeCell ref="B28:E28"/>
    <mergeCell ref="B29:E29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F6EA8"/>
  </sheetPr>
  <dimension ref="A1:L51"/>
  <sheetViews>
    <sheetView zoomScaleNormal="100" workbookViewId="0">
      <selection sqref="A1:H1"/>
    </sheetView>
  </sheetViews>
  <sheetFormatPr defaultColWidth="8.7109375" defaultRowHeight="15" x14ac:dyDescent="0.25"/>
  <cols>
    <col min="1" max="1" width="6" customWidth="1"/>
    <col min="2" max="2" width="12" customWidth="1"/>
    <col min="3" max="3" width="16" customWidth="1"/>
    <col min="4" max="4" width="14" customWidth="1"/>
    <col min="5" max="5" width="11" customWidth="1"/>
    <col min="6" max="6" width="18" customWidth="1"/>
    <col min="7" max="7" width="14" customWidth="1"/>
    <col min="8" max="8" width="16" customWidth="1"/>
    <col min="9" max="9" width="4" customWidth="1"/>
    <col min="10" max="10" width="15" customWidth="1"/>
    <col min="11" max="11" width="14" customWidth="1"/>
    <col min="12" max="12" width="17" customWidth="1"/>
  </cols>
  <sheetData>
    <row r="1" spans="1:12" ht="25.5" customHeight="1" x14ac:dyDescent="0.25">
      <c r="A1" s="5" t="s">
        <v>205</v>
      </c>
      <c r="B1" s="5"/>
      <c r="C1" s="5"/>
      <c r="D1" s="5"/>
      <c r="E1" s="5"/>
      <c r="F1" s="5"/>
      <c r="G1" s="5"/>
      <c r="H1" s="5"/>
    </row>
    <row r="2" spans="1:12" x14ac:dyDescent="0.25">
      <c r="A2" s="6" t="s">
        <v>1</v>
      </c>
      <c r="J2" s="1" t="s">
        <v>206</v>
      </c>
      <c r="K2" s="1"/>
      <c r="L2" s="1"/>
    </row>
    <row r="3" spans="1:12" ht="30" customHeight="1" x14ac:dyDescent="0.25">
      <c r="A3" s="7" t="s">
        <v>2</v>
      </c>
      <c r="B3" s="7" t="s">
        <v>3</v>
      </c>
      <c r="C3" s="7" t="s">
        <v>207</v>
      </c>
      <c r="D3" s="7" t="s">
        <v>4</v>
      </c>
      <c r="E3" s="7" t="s">
        <v>6</v>
      </c>
      <c r="F3" s="7" t="s">
        <v>7</v>
      </c>
      <c r="G3" s="7" t="s">
        <v>5</v>
      </c>
      <c r="H3" s="7" t="s">
        <v>208</v>
      </c>
      <c r="J3" s="7" t="s">
        <v>4</v>
      </c>
      <c r="K3" s="7" t="s">
        <v>5</v>
      </c>
      <c r="L3" s="7" t="s">
        <v>8</v>
      </c>
    </row>
    <row r="4" spans="1:12" x14ac:dyDescent="0.25">
      <c r="A4" s="8">
        <v>1</v>
      </c>
      <c r="B4" s="9">
        <v>46025</v>
      </c>
      <c r="C4" s="8" t="s">
        <v>209</v>
      </c>
      <c r="D4" s="8" t="s">
        <v>21</v>
      </c>
      <c r="E4" s="8" t="s">
        <v>23</v>
      </c>
      <c r="F4" s="8">
        <v>18</v>
      </c>
      <c r="G4" s="15"/>
      <c r="H4" s="15"/>
      <c r="J4" s="8" t="s">
        <v>17</v>
      </c>
      <c r="K4" s="8" t="s">
        <v>15</v>
      </c>
      <c r="L4" s="10">
        <v>3200</v>
      </c>
    </row>
    <row r="5" spans="1:12" x14ac:dyDescent="0.25">
      <c r="A5" s="8">
        <v>2</v>
      </c>
      <c r="B5" s="9">
        <v>46033</v>
      </c>
      <c r="C5" s="8" t="s">
        <v>210</v>
      </c>
      <c r="D5" s="8" t="s">
        <v>24</v>
      </c>
      <c r="E5" s="8" t="s">
        <v>13</v>
      </c>
      <c r="F5" s="8">
        <v>2</v>
      </c>
      <c r="G5" s="15"/>
      <c r="H5" s="15"/>
      <c r="J5" s="8" t="s">
        <v>14</v>
      </c>
      <c r="K5" s="8" t="s">
        <v>15</v>
      </c>
      <c r="L5" s="10">
        <v>2100</v>
      </c>
    </row>
    <row r="6" spans="1:12" x14ac:dyDescent="0.25">
      <c r="A6" s="8">
        <v>3</v>
      </c>
      <c r="B6" s="9">
        <v>46038</v>
      </c>
      <c r="C6" s="8" t="s">
        <v>210</v>
      </c>
      <c r="D6" s="8" t="s">
        <v>211</v>
      </c>
      <c r="E6" s="8" t="s">
        <v>23</v>
      </c>
      <c r="F6" s="8">
        <v>3</v>
      </c>
      <c r="G6" s="15"/>
      <c r="H6" s="15"/>
      <c r="J6" s="8" t="s">
        <v>211</v>
      </c>
      <c r="K6" s="8" t="s">
        <v>15</v>
      </c>
      <c r="L6" s="10">
        <v>250</v>
      </c>
    </row>
    <row r="7" spans="1:12" x14ac:dyDescent="0.25">
      <c r="A7" s="8">
        <v>4</v>
      </c>
      <c r="B7" s="9">
        <v>46042</v>
      </c>
      <c r="C7" s="8" t="s">
        <v>212</v>
      </c>
      <c r="D7" s="8" t="s">
        <v>19</v>
      </c>
      <c r="E7" s="8" t="s">
        <v>13</v>
      </c>
      <c r="F7" s="8">
        <v>6</v>
      </c>
      <c r="G7" s="15"/>
      <c r="H7" s="15"/>
      <c r="J7" s="8" t="s">
        <v>24</v>
      </c>
      <c r="K7" s="8" t="s">
        <v>15</v>
      </c>
      <c r="L7" s="10">
        <v>900</v>
      </c>
    </row>
    <row r="8" spans="1:12" x14ac:dyDescent="0.25">
      <c r="A8" s="8">
        <v>5</v>
      </c>
      <c r="B8" s="9">
        <v>46046</v>
      </c>
      <c r="C8" s="8" t="s">
        <v>209</v>
      </c>
      <c r="D8" s="8" t="s">
        <v>19</v>
      </c>
      <c r="E8" s="8" t="s">
        <v>16</v>
      </c>
      <c r="F8" s="8">
        <v>3</v>
      </c>
      <c r="G8" s="15"/>
      <c r="H8" s="15"/>
      <c r="J8" s="8" t="s">
        <v>20</v>
      </c>
      <c r="K8" s="8" t="s">
        <v>12</v>
      </c>
      <c r="L8" s="10">
        <v>650</v>
      </c>
    </row>
    <row r="9" spans="1:12" x14ac:dyDescent="0.25">
      <c r="A9" s="8">
        <v>6</v>
      </c>
      <c r="B9" s="9">
        <v>46051</v>
      </c>
      <c r="C9" s="8" t="s">
        <v>212</v>
      </c>
      <c r="D9" s="8" t="s">
        <v>211</v>
      </c>
      <c r="E9" s="8" t="s">
        <v>18</v>
      </c>
      <c r="F9" s="8">
        <v>1</v>
      </c>
      <c r="G9" s="15"/>
      <c r="H9" s="15"/>
      <c r="J9" s="8" t="s">
        <v>11</v>
      </c>
      <c r="K9" s="8" t="s">
        <v>12</v>
      </c>
      <c r="L9" s="10">
        <v>800</v>
      </c>
    </row>
    <row r="10" spans="1:12" x14ac:dyDescent="0.25">
      <c r="A10" s="8">
        <v>7</v>
      </c>
      <c r="B10" s="9">
        <v>46056</v>
      </c>
      <c r="C10" s="8" t="s">
        <v>213</v>
      </c>
      <c r="D10" s="8" t="s">
        <v>21</v>
      </c>
      <c r="E10" s="8" t="s">
        <v>23</v>
      </c>
      <c r="F10" s="8">
        <v>10</v>
      </c>
      <c r="G10" s="15"/>
      <c r="H10" s="15"/>
      <c r="J10" s="8" t="s">
        <v>19</v>
      </c>
      <c r="K10" s="8" t="s">
        <v>12</v>
      </c>
      <c r="L10" s="10">
        <v>120</v>
      </c>
    </row>
    <row r="11" spans="1:12" x14ac:dyDescent="0.25">
      <c r="A11" s="8">
        <v>8</v>
      </c>
      <c r="B11" s="9">
        <v>46063</v>
      </c>
      <c r="C11" s="8" t="s">
        <v>214</v>
      </c>
      <c r="D11" s="8" t="s">
        <v>211</v>
      </c>
      <c r="E11" s="8" t="s">
        <v>23</v>
      </c>
      <c r="F11" s="8">
        <v>10</v>
      </c>
      <c r="G11" s="15"/>
      <c r="H11" s="15"/>
      <c r="J11" s="8" t="s">
        <v>21</v>
      </c>
      <c r="K11" s="8" t="s">
        <v>22</v>
      </c>
      <c r="L11" s="10">
        <v>8</v>
      </c>
    </row>
    <row r="12" spans="1:12" x14ac:dyDescent="0.25">
      <c r="A12" s="8">
        <v>9</v>
      </c>
      <c r="B12" s="9">
        <v>46066</v>
      </c>
      <c r="C12" s="8" t="s">
        <v>212</v>
      </c>
      <c r="D12" s="8" t="s">
        <v>11</v>
      </c>
      <c r="E12" s="8" t="s">
        <v>16</v>
      </c>
      <c r="F12" s="8">
        <v>8</v>
      </c>
      <c r="G12" s="15"/>
      <c r="H12" s="15"/>
      <c r="J12" s="8" t="s">
        <v>25</v>
      </c>
      <c r="K12" s="8" t="s">
        <v>22</v>
      </c>
      <c r="L12" s="10">
        <v>25</v>
      </c>
    </row>
    <row r="13" spans="1:12" x14ac:dyDescent="0.25">
      <c r="A13" s="8">
        <v>10</v>
      </c>
      <c r="B13" s="9">
        <v>46073</v>
      </c>
      <c r="C13" s="8" t="s">
        <v>210</v>
      </c>
      <c r="D13" s="8" t="s">
        <v>25</v>
      </c>
      <c r="E13" s="8" t="s">
        <v>13</v>
      </c>
      <c r="F13" s="8">
        <v>35</v>
      </c>
      <c r="G13" s="15"/>
      <c r="H13" s="15"/>
    </row>
    <row r="14" spans="1:12" x14ac:dyDescent="0.25">
      <c r="A14" s="8">
        <v>11</v>
      </c>
      <c r="B14" s="9">
        <v>46078</v>
      </c>
      <c r="C14" s="8" t="s">
        <v>212</v>
      </c>
      <c r="D14" s="8" t="s">
        <v>14</v>
      </c>
      <c r="E14" s="8" t="s">
        <v>13</v>
      </c>
      <c r="F14" s="8">
        <v>1</v>
      </c>
      <c r="G14" s="15"/>
      <c r="H14" s="15"/>
    </row>
    <row r="15" spans="1:12" x14ac:dyDescent="0.25">
      <c r="A15" s="8">
        <v>12</v>
      </c>
      <c r="B15" s="9">
        <v>46080</v>
      </c>
      <c r="C15" s="8" t="s">
        <v>209</v>
      </c>
      <c r="D15" s="8" t="s">
        <v>24</v>
      </c>
      <c r="E15" s="8" t="s">
        <v>13</v>
      </c>
      <c r="F15" s="8">
        <v>3</v>
      </c>
      <c r="G15" s="15"/>
      <c r="H15" s="15"/>
    </row>
    <row r="16" spans="1:12" x14ac:dyDescent="0.25">
      <c r="A16" s="8">
        <v>13</v>
      </c>
      <c r="B16" s="9">
        <v>46087</v>
      </c>
      <c r="C16" s="8" t="s">
        <v>214</v>
      </c>
      <c r="D16" s="8" t="s">
        <v>14</v>
      </c>
      <c r="E16" s="8" t="s">
        <v>16</v>
      </c>
      <c r="F16" s="8">
        <v>2</v>
      </c>
      <c r="G16" s="15"/>
      <c r="H16" s="15"/>
    </row>
    <row r="17" spans="1:8" x14ac:dyDescent="0.25">
      <c r="A17" s="8">
        <v>14</v>
      </c>
      <c r="B17" s="9">
        <v>46091</v>
      </c>
      <c r="C17" s="8" t="s">
        <v>214</v>
      </c>
      <c r="D17" s="8" t="s">
        <v>17</v>
      </c>
      <c r="E17" s="8" t="s">
        <v>16</v>
      </c>
      <c r="F17" s="8">
        <v>6</v>
      </c>
      <c r="G17" s="15"/>
      <c r="H17" s="15"/>
    </row>
    <row r="18" spans="1:8" x14ac:dyDescent="0.25">
      <c r="A18" s="8">
        <v>15</v>
      </c>
      <c r="B18" s="9">
        <v>46095</v>
      </c>
      <c r="C18" s="8" t="s">
        <v>209</v>
      </c>
      <c r="D18" s="8" t="s">
        <v>17</v>
      </c>
      <c r="E18" s="8" t="s">
        <v>13</v>
      </c>
      <c r="F18" s="8">
        <v>3</v>
      </c>
      <c r="G18" s="15"/>
      <c r="H18" s="15"/>
    </row>
    <row r="19" spans="1:8" x14ac:dyDescent="0.25">
      <c r="A19" s="8">
        <v>16</v>
      </c>
      <c r="B19" s="9">
        <v>46102</v>
      </c>
      <c r="C19" s="8" t="s">
        <v>214</v>
      </c>
      <c r="D19" s="8" t="s">
        <v>20</v>
      </c>
      <c r="E19" s="8" t="s">
        <v>23</v>
      </c>
      <c r="F19" s="8">
        <v>8</v>
      </c>
      <c r="G19" s="15"/>
      <c r="H19" s="15"/>
    </row>
    <row r="20" spans="1:8" x14ac:dyDescent="0.25">
      <c r="A20" s="8">
        <v>17</v>
      </c>
      <c r="B20" s="9">
        <v>46105</v>
      </c>
      <c r="C20" s="8" t="s">
        <v>210</v>
      </c>
      <c r="D20" s="8" t="s">
        <v>14</v>
      </c>
      <c r="E20" s="8" t="s">
        <v>13</v>
      </c>
      <c r="F20" s="8">
        <v>8</v>
      </c>
      <c r="G20" s="15"/>
      <c r="H20" s="15"/>
    </row>
    <row r="21" spans="1:8" x14ac:dyDescent="0.25">
      <c r="A21" s="8">
        <v>18</v>
      </c>
      <c r="B21" s="9">
        <v>46112</v>
      </c>
      <c r="C21" s="8" t="s">
        <v>215</v>
      </c>
      <c r="D21" s="8" t="s">
        <v>21</v>
      </c>
      <c r="E21" s="8" t="s">
        <v>18</v>
      </c>
      <c r="F21" s="8">
        <v>16</v>
      </c>
      <c r="G21" s="15"/>
      <c r="H21" s="15"/>
    </row>
    <row r="22" spans="1:8" x14ac:dyDescent="0.25">
      <c r="A22" s="8">
        <v>19</v>
      </c>
      <c r="B22" s="9">
        <v>46117</v>
      </c>
      <c r="C22" s="8" t="s">
        <v>210</v>
      </c>
      <c r="D22" s="8" t="s">
        <v>11</v>
      </c>
      <c r="E22" s="8" t="s">
        <v>18</v>
      </c>
      <c r="F22" s="8">
        <v>9</v>
      </c>
      <c r="G22" s="15"/>
      <c r="H22" s="15"/>
    </row>
    <row r="23" spans="1:8" x14ac:dyDescent="0.25">
      <c r="A23" s="8">
        <v>20</v>
      </c>
      <c r="B23" s="9">
        <v>46121</v>
      </c>
      <c r="C23" s="8" t="s">
        <v>214</v>
      </c>
      <c r="D23" s="8" t="s">
        <v>17</v>
      </c>
      <c r="E23" s="8" t="s">
        <v>23</v>
      </c>
      <c r="F23" s="8">
        <v>3</v>
      </c>
      <c r="G23" s="15"/>
      <c r="H23" s="15"/>
    </row>
    <row r="24" spans="1:8" x14ac:dyDescent="0.25">
      <c r="A24" s="8">
        <v>21</v>
      </c>
      <c r="B24" s="9">
        <v>46125</v>
      </c>
      <c r="C24" s="8" t="s">
        <v>214</v>
      </c>
      <c r="D24" s="8" t="s">
        <v>25</v>
      </c>
      <c r="E24" s="8" t="s">
        <v>23</v>
      </c>
      <c r="F24" s="8">
        <v>51</v>
      </c>
      <c r="G24" s="15"/>
      <c r="H24" s="15"/>
    </row>
    <row r="25" spans="1:8" x14ac:dyDescent="0.25">
      <c r="A25" s="8">
        <v>22</v>
      </c>
      <c r="B25" s="9">
        <v>46132</v>
      </c>
      <c r="C25" s="8" t="s">
        <v>214</v>
      </c>
      <c r="D25" s="8" t="s">
        <v>14</v>
      </c>
      <c r="E25" s="8" t="s">
        <v>23</v>
      </c>
      <c r="F25" s="8">
        <v>3</v>
      </c>
      <c r="G25" s="15"/>
      <c r="H25" s="15"/>
    </row>
    <row r="26" spans="1:8" x14ac:dyDescent="0.25">
      <c r="A26" s="8">
        <v>23</v>
      </c>
      <c r="B26" s="9">
        <v>46136</v>
      </c>
      <c r="C26" s="8" t="s">
        <v>214</v>
      </c>
      <c r="D26" s="8" t="s">
        <v>11</v>
      </c>
      <c r="E26" s="8" t="s">
        <v>23</v>
      </c>
      <c r="F26" s="8">
        <v>4</v>
      </c>
      <c r="G26" s="15"/>
      <c r="H26" s="15"/>
    </row>
    <row r="27" spans="1:8" x14ac:dyDescent="0.25">
      <c r="A27" s="8">
        <v>24</v>
      </c>
      <c r="B27" s="9">
        <v>46141</v>
      </c>
      <c r="C27" s="8" t="s">
        <v>210</v>
      </c>
      <c r="D27" s="8" t="s">
        <v>24</v>
      </c>
      <c r="E27" s="8" t="s">
        <v>18</v>
      </c>
      <c r="F27" s="8">
        <v>4</v>
      </c>
      <c r="G27" s="15"/>
      <c r="H27" s="15"/>
    </row>
    <row r="28" spans="1:8" x14ac:dyDescent="0.25">
      <c r="A28" s="8">
        <v>25</v>
      </c>
      <c r="B28" s="9">
        <v>46148</v>
      </c>
      <c r="C28" s="8" t="s">
        <v>213</v>
      </c>
      <c r="D28" s="8" t="s">
        <v>25</v>
      </c>
      <c r="E28" s="8" t="s">
        <v>16</v>
      </c>
      <c r="F28" s="8">
        <v>11</v>
      </c>
      <c r="G28" s="15"/>
      <c r="H28" s="15"/>
    </row>
    <row r="29" spans="1:8" x14ac:dyDescent="0.25">
      <c r="A29" s="8">
        <v>26</v>
      </c>
      <c r="B29" s="9">
        <v>46153</v>
      </c>
      <c r="C29" s="8" t="s">
        <v>213</v>
      </c>
      <c r="D29" s="8" t="s">
        <v>20</v>
      </c>
      <c r="E29" s="8" t="s">
        <v>18</v>
      </c>
      <c r="F29" s="8">
        <v>10</v>
      </c>
      <c r="G29" s="15"/>
      <c r="H29" s="15"/>
    </row>
    <row r="30" spans="1:8" x14ac:dyDescent="0.25">
      <c r="A30" s="8">
        <v>27</v>
      </c>
      <c r="B30" s="9">
        <v>46158</v>
      </c>
      <c r="C30" s="8" t="s">
        <v>212</v>
      </c>
      <c r="D30" s="8" t="s">
        <v>11</v>
      </c>
      <c r="E30" s="8" t="s">
        <v>23</v>
      </c>
      <c r="F30" s="8">
        <v>6</v>
      </c>
      <c r="G30" s="15"/>
      <c r="H30" s="15"/>
    </row>
    <row r="31" spans="1:8" x14ac:dyDescent="0.25">
      <c r="A31" s="8">
        <v>28</v>
      </c>
      <c r="B31" s="9">
        <v>46161</v>
      </c>
      <c r="C31" s="8" t="s">
        <v>215</v>
      </c>
      <c r="D31" s="8" t="s">
        <v>14</v>
      </c>
      <c r="E31" s="8" t="s">
        <v>18</v>
      </c>
      <c r="F31" s="8">
        <v>8</v>
      </c>
      <c r="G31" s="15"/>
      <c r="H31" s="15"/>
    </row>
    <row r="32" spans="1:8" x14ac:dyDescent="0.25">
      <c r="A32" s="8">
        <v>29</v>
      </c>
      <c r="B32" s="9">
        <v>46167</v>
      </c>
      <c r="C32" s="8" t="s">
        <v>209</v>
      </c>
      <c r="D32" s="8" t="s">
        <v>24</v>
      </c>
      <c r="E32" s="8" t="s">
        <v>13</v>
      </c>
      <c r="F32" s="8">
        <v>10</v>
      </c>
      <c r="G32" s="15"/>
      <c r="H32" s="15"/>
    </row>
    <row r="33" spans="1:8" x14ac:dyDescent="0.25">
      <c r="A33" s="8">
        <v>30</v>
      </c>
      <c r="B33" s="9">
        <v>46173</v>
      </c>
      <c r="C33" s="8" t="s">
        <v>212</v>
      </c>
      <c r="D33" s="8" t="s">
        <v>17</v>
      </c>
      <c r="E33" s="8" t="s">
        <v>23</v>
      </c>
      <c r="F33" s="8">
        <v>2</v>
      </c>
      <c r="G33" s="15"/>
      <c r="H33" s="15"/>
    </row>
    <row r="36" spans="1:8" ht="15" customHeight="1" x14ac:dyDescent="0.25">
      <c r="A36" s="4" t="s">
        <v>216</v>
      </c>
      <c r="B36" s="4"/>
      <c r="C36" s="4"/>
      <c r="D36" s="4"/>
      <c r="E36" s="4"/>
      <c r="F36" s="4"/>
    </row>
    <row r="37" spans="1:8" ht="15" customHeight="1" x14ac:dyDescent="0.25">
      <c r="A37" s="12" t="s">
        <v>2</v>
      </c>
      <c r="B37" s="3" t="s">
        <v>27</v>
      </c>
      <c r="C37" s="3"/>
      <c r="D37" s="3"/>
      <c r="E37" s="3"/>
      <c r="F37" s="12" t="s">
        <v>28</v>
      </c>
    </row>
    <row r="38" spans="1:8" ht="60" customHeight="1" x14ac:dyDescent="0.25">
      <c r="A38" s="8">
        <v>1</v>
      </c>
      <c r="B38" s="2" t="s">
        <v>217</v>
      </c>
      <c r="C38" s="2"/>
      <c r="D38" s="2"/>
      <c r="E38" s="2"/>
      <c r="F38" s="13"/>
    </row>
    <row r="39" spans="1:8" ht="60" customHeight="1" x14ac:dyDescent="0.25">
      <c r="A39" s="8">
        <v>2</v>
      </c>
      <c r="B39" s="2" t="s">
        <v>218</v>
      </c>
      <c r="C39" s="2"/>
      <c r="D39" s="2"/>
      <c r="E39" s="2"/>
      <c r="F39" s="13"/>
    </row>
    <row r="40" spans="1:8" ht="33" customHeight="1" x14ac:dyDescent="0.25">
      <c r="A40" s="8">
        <v>3</v>
      </c>
      <c r="B40" s="2" t="s">
        <v>219</v>
      </c>
      <c r="C40" s="2"/>
      <c r="D40" s="2"/>
      <c r="E40" s="2"/>
      <c r="F40" s="13"/>
    </row>
    <row r="41" spans="1:8" ht="33" customHeight="1" x14ac:dyDescent="0.25">
      <c r="A41" s="8">
        <v>4</v>
      </c>
      <c r="B41" s="2" t="s">
        <v>220</v>
      </c>
      <c r="C41" s="2"/>
      <c r="D41" s="2"/>
      <c r="E41" s="2"/>
      <c r="F41" s="13"/>
    </row>
    <row r="42" spans="1:8" ht="46.5" customHeight="1" x14ac:dyDescent="0.25">
      <c r="A42" s="8">
        <v>5</v>
      </c>
      <c r="B42" s="2" t="s">
        <v>221</v>
      </c>
      <c r="C42" s="2"/>
      <c r="D42" s="2"/>
      <c r="E42" s="2"/>
      <c r="F42" s="13"/>
    </row>
    <row r="43" spans="1:8" ht="46.5" customHeight="1" x14ac:dyDescent="0.25">
      <c r="A43" s="8">
        <v>6</v>
      </c>
      <c r="B43" s="2" t="s">
        <v>222</v>
      </c>
      <c r="C43" s="2"/>
      <c r="D43" s="2"/>
      <c r="E43" s="2"/>
      <c r="F43" s="13"/>
    </row>
    <row r="44" spans="1:8" ht="46.5" customHeight="1" x14ac:dyDescent="0.25">
      <c r="A44" s="8">
        <v>7</v>
      </c>
      <c r="B44" s="2" t="s">
        <v>223</v>
      </c>
      <c r="C44" s="2"/>
      <c r="D44" s="2"/>
      <c r="E44" s="2"/>
      <c r="F44" s="13"/>
    </row>
    <row r="45" spans="1:8" ht="33" customHeight="1" x14ac:dyDescent="0.25">
      <c r="A45" s="8">
        <v>8</v>
      </c>
      <c r="B45" s="2" t="s">
        <v>224</v>
      </c>
      <c r="C45" s="2"/>
      <c r="D45" s="2"/>
      <c r="E45" s="2"/>
      <c r="F45" s="13"/>
    </row>
    <row r="46" spans="1:8" ht="33" customHeight="1" x14ac:dyDescent="0.25">
      <c r="A46" s="8">
        <v>9</v>
      </c>
      <c r="B46" s="2" t="s">
        <v>225</v>
      </c>
      <c r="C46" s="2"/>
      <c r="D46" s="2"/>
      <c r="E46" s="2"/>
      <c r="F46" s="13"/>
    </row>
    <row r="47" spans="1:8" ht="33" customHeight="1" x14ac:dyDescent="0.25">
      <c r="A47" s="8">
        <v>10</v>
      </c>
      <c r="B47" s="2" t="s">
        <v>226</v>
      </c>
      <c r="C47" s="2"/>
      <c r="D47" s="2"/>
      <c r="E47" s="2"/>
      <c r="F47" s="13"/>
    </row>
    <row r="48" spans="1:8" ht="46.5" customHeight="1" x14ac:dyDescent="0.25">
      <c r="A48" s="8">
        <v>11</v>
      </c>
      <c r="B48" s="2" t="s">
        <v>227</v>
      </c>
      <c r="C48" s="2"/>
      <c r="D48" s="2"/>
      <c r="E48" s="2"/>
      <c r="F48" s="13"/>
    </row>
    <row r="49" spans="1:6" ht="46.5" customHeight="1" x14ac:dyDescent="0.25">
      <c r="A49" s="8">
        <v>12</v>
      </c>
      <c r="B49" s="2" t="s">
        <v>228</v>
      </c>
      <c r="C49" s="2"/>
      <c r="D49" s="2"/>
      <c r="E49" s="2"/>
      <c r="F49" s="13"/>
    </row>
    <row r="50" spans="1:6" ht="33" customHeight="1" x14ac:dyDescent="0.25">
      <c r="A50" s="8">
        <v>13</v>
      </c>
      <c r="B50" s="2" t="s">
        <v>229</v>
      </c>
      <c r="C50" s="2"/>
      <c r="D50" s="2"/>
      <c r="E50" s="2"/>
      <c r="F50" s="13"/>
    </row>
    <row r="51" spans="1:6" ht="33" customHeight="1" x14ac:dyDescent="0.25">
      <c r="A51" s="8">
        <v>14</v>
      </c>
      <c r="B51" s="2" t="s">
        <v>230</v>
      </c>
      <c r="C51" s="2"/>
      <c r="D51" s="2"/>
      <c r="E51" s="2"/>
      <c r="F51" s="13"/>
    </row>
  </sheetData>
  <mergeCells count="18">
    <mergeCell ref="B49:E49"/>
    <mergeCell ref="B50:E50"/>
    <mergeCell ref="B51:E51"/>
    <mergeCell ref="B44:E44"/>
    <mergeCell ref="B45:E45"/>
    <mergeCell ref="B46:E46"/>
    <mergeCell ref="B47:E47"/>
    <mergeCell ref="B48:E48"/>
    <mergeCell ref="B39:E39"/>
    <mergeCell ref="B40:E40"/>
    <mergeCell ref="B41:E41"/>
    <mergeCell ref="B42:E42"/>
    <mergeCell ref="B43:E43"/>
    <mergeCell ref="A1:H1"/>
    <mergeCell ref="J2:L2"/>
    <mergeCell ref="A36:F36"/>
    <mergeCell ref="B37:E37"/>
    <mergeCell ref="B38:E3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Vanzari Produse</vt:lpstr>
      <vt:lpstr>Angajati</vt:lpstr>
      <vt:lpstr>Note Elevi</vt:lpstr>
      <vt:lpstr>Cheltuieli Lunare</vt:lpstr>
      <vt:lpstr>Pivot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Melisa Mustafa</cp:lastModifiedBy>
  <cp:revision>0</cp:revision>
  <dcterms:created xsi:type="dcterms:W3CDTF">2026-09-30T08:06:03Z</dcterms:created>
  <dcterms:modified xsi:type="dcterms:W3CDTF">2026-09-30T08:26:47Z</dcterms:modified>
  <dc:language>en-US</dc:language>
</cp:coreProperties>
</file>