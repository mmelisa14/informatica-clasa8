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lisa\Downloads\"/>
    </mc:Choice>
  </mc:AlternateContent>
  <xr:revisionPtr revIDLastSave="0" documentId="11_E7BE3D184730193760B45F92A81C04E186963A1C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olved Exercises" sheetId="1" r:id="rId1"/>
    <sheet name="Students" sheetId="2" r:id="rId2"/>
    <sheet name="Statione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8" i="1" l="1"/>
  <c r="F41" i="1"/>
  <c r="D41" i="1"/>
  <c r="E41" i="1" s="1"/>
  <c r="F40" i="1"/>
  <c r="D40" i="1"/>
  <c r="E40" i="1" s="1"/>
  <c r="F39" i="1"/>
  <c r="D39" i="1"/>
  <c r="E39" i="1" s="1"/>
  <c r="F38" i="1"/>
  <c r="D38" i="1"/>
  <c r="E38" i="1" s="1"/>
  <c r="F37" i="1"/>
  <c r="D37" i="1"/>
  <c r="E37" i="1" s="1"/>
  <c r="F36" i="1"/>
  <c r="D36" i="1"/>
  <c r="E36" i="1" s="1"/>
  <c r="F35" i="1"/>
  <c r="D35" i="1"/>
  <c r="E35" i="1" s="1"/>
  <c r="F34" i="1"/>
  <c r="D34" i="1"/>
  <c r="E34" i="1" s="1"/>
  <c r="F33" i="1"/>
  <c r="D33" i="1"/>
  <c r="E33" i="1" s="1"/>
  <c r="F32" i="1"/>
  <c r="D32" i="1"/>
  <c r="E32" i="1" s="1"/>
  <c r="G28" i="1"/>
  <c r="G27" i="1"/>
  <c r="G26" i="1"/>
  <c r="G19" i="1"/>
  <c r="F19" i="1"/>
  <c r="E19" i="1"/>
  <c r="D19" i="1"/>
  <c r="C19" i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F46" i="1" l="1"/>
</calcChain>
</file>

<file path=xl/sharedStrings.xml><?xml version="1.0" encoding="utf-8"?>
<sst xmlns="http://schemas.openxmlformats.org/spreadsheetml/2006/main" count="183" uniqueCount="99">
  <si>
    <t>Excel Practice - SOLUTIONS with explanations</t>
  </si>
  <si>
    <t>This sheet shows the finished work (green cells = formulas). The sheets "Students" and "Stationery" have the same exercises EMPTY, for you to solve (yellow cells = your answers).</t>
  </si>
  <si>
    <t>Tip: a cell name = column letter + row number (B2). A range uses ":" (C2:F2 = all cells from C2 to F2). Every formula starts with =.</t>
  </si>
  <si>
    <t>EXERCISE 1 - STUDENTS (grades)</t>
  </si>
  <si>
    <t>Last name</t>
  </si>
  <si>
    <t>First name</t>
  </si>
  <si>
    <t>Mathematics</t>
  </si>
  <si>
    <t>Romanian</t>
  </si>
  <si>
    <t>Computer Science</t>
  </si>
  <si>
    <t>English</t>
  </si>
  <si>
    <t>Average</t>
  </si>
  <si>
    <t>Status</t>
  </si>
  <si>
    <t>Popescu</t>
  </si>
  <si>
    <t>Ana</t>
  </si>
  <si>
    <t>Ionescu</t>
  </si>
  <si>
    <t>Mihai</t>
  </si>
  <si>
    <t>Georgescu</t>
  </si>
  <si>
    <t>Maria</t>
  </si>
  <si>
    <t>Dumitrescu</t>
  </si>
  <si>
    <t>Andrei</t>
  </si>
  <si>
    <t>Stancu</t>
  </si>
  <si>
    <t>Elena</t>
  </si>
  <si>
    <t>Radu</t>
  </si>
  <si>
    <t>Cristian</t>
  </si>
  <si>
    <t>Matei</t>
  </si>
  <si>
    <t>Sofia</t>
  </si>
  <si>
    <t>Constantin</t>
  </si>
  <si>
    <t>David</t>
  </si>
  <si>
    <t>Marin</t>
  </si>
  <si>
    <t>Iulia</t>
  </si>
  <si>
    <t>Tudor</t>
  </si>
  <si>
    <t>Alexandru</t>
  </si>
  <si>
    <t>Nistor</t>
  </si>
  <si>
    <t>Diana</t>
  </si>
  <si>
    <t>Voicu</t>
  </si>
  <si>
    <t>Rareș</t>
  </si>
  <si>
    <t>Class average</t>
  </si>
  <si>
    <t>TASKS (solved)</t>
  </si>
  <si>
    <t>Answer box</t>
  </si>
  <si>
    <t>Formula</t>
  </si>
  <si>
    <t>How I did it - step by step</t>
  </si>
  <si>
    <t>1. Calculate the Average of each student in column G, using AVERAGE on the 4 grades.</t>
  </si>
  <si>
    <t>See table</t>
  </si>
  <si>
    <t>=AVERAGE(C7:F7)</t>
  </si>
  <si>
    <t>Click G7. Type = then AVERAGE( . Select the 4 grades C7:F7 with the mouse. Type ) and press Enter. Click G7 again, drag the small green square (bottom-right corner) down to G18.</t>
  </si>
  <si>
    <t>2. In column H "Status", use IF to show "Passed" if the average is 5 or more, otherwise "Failed".</t>
  </si>
  <si>
    <t>=IF(G7&gt;=5,"Passed","Failed")</t>
  </si>
  <si>
    <t>Click H7. Type =IF( . Three parts, separated by commas: (1) the test G7&gt;=5, (2) result if TRUE: "Passed", (3) result if FALSE: "Failed". Text goes in quotes. Close with ) , press Enter, drag down to H18.</t>
  </si>
  <si>
    <t>3. Conditional formatting on the grades (C to F): green for grades &gt;= 9, red for grades &lt; 5.</t>
  </si>
  <si>
    <t>Set a rule</t>
  </si>
  <si>
    <t>(a rule, no formula)</t>
  </si>
  <si>
    <t>Select C7:F18. Home &gt; Conditional Formatting &gt; Highlight Cells Rules &gt; Greater Than... type 8.99, choose Green Fill. Then again: Highlight Cells Rules &gt; Less Than... type 5, choose Light Red Fill.</t>
  </si>
  <si>
    <t>4. In the "Class average" row, use AVERAGE to get the class average for each subject (and for the Average column).</t>
  </si>
  <si>
    <t>=AVERAGE(C7:C18)</t>
  </si>
  <si>
    <t>Click C19. Type =AVERAGE( then select C7:C18, type ) and press Enter. Drag the formula to the right up to G19: Excel changes C into D, E, F, G by itself.</t>
  </si>
  <si>
    <t>5. Use MAX to find the highest average in the class.</t>
  </si>
  <si>
    <t>=MAX(G7:G18)</t>
  </si>
  <si>
    <t>Click the answer box. Type =MAX( , select the averages G7:G18, type ) and press Enter.</t>
  </si>
  <si>
    <t>6. Use MIN to find the lowest average in the class.</t>
  </si>
  <si>
    <t>=MIN(G7:G18)</t>
  </si>
  <si>
    <t>Click the answer box. Type =MIN( , select the averages G7:G18, type ) and press Enter.</t>
  </si>
  <si>
    <t>7. Use COUNTIF to count how many students have an average of 8 or more.</t>
  </si>
  <si>
    <t>=COUNTIF(G7:G18,"&gt;=8")</t>
  </si>
  <si>
    <t>Click the answer box. Type =COUNTIF( , select G7:G18, type a comma, then the condition in quotes: "&gt;=8". Close with ) and press Enter. COUNTIF counts only the cells that match.</t>
  </si>
  <si>
    <t>EXERCISE 2 - STATIONERY (stock)</t>
  </si>
  <si>
    <t>Product</t>
  </si>
  <si>
    <t>Quantity (pcs)</t>
  </si>
  <si>
    <t>Unit price excl. VAT (lei)</t>
  </si>
  <si>
    <t>Unit price incl. VAT (lei)</t>
  </si>
  <si>
    <t>Total value (lei)</t>
  </si>
  <si>
    <t>Stock</t>
  </si>
  <si>
    <t>Dictation notebook</t>
  </si>
  <si>
    <t>Blue pen</t>
  </si>
  <si>
    <t>Graphite pencil</t>
  </si>
  <si>
    <t>Eraser</t>
  </si>
  <si>
    <t>Watercolors</t>
  </si>
  <si>
    <t>Markers (set)</t>
  </si>
  <si>
    <t>Ruler 30 cm</t>
  </si>
  <si>
    <t>Notebook covers</t>
  </si>
  <si>
    <t>Stapler</t>
  </si>
  <si>
    <t>Whiteboard marker</t>
  </si>
  <si>
    <t>1. VAT is 19%. In column D, calculate the price with VAT: price excl. VAT x 1.19.</t>
  </si>
  <si>
    <t>=C32*1.19</t>
  </si>
  <si>
    <t>Click D32. Type = then click C32, type *1.19 and press Enter. Drag the formula down to D41. Why 1.19? 100% + 19% VAT = 119% = 1.19.</t>
  </si>
  <si>
    <t>2. In column E, calculate the total value of each product: quantity x price with VAT.</t>
  </si>
  <si>
    <t>=B32*D32</t>
  </si>
  <si>
    <t>Click E32. Type = then click B32, type * then click D32 and press Enter. Drag the formula down to E41.</t>
  </si>
  <si>
    <t>3. Use SUM to calculate the total value of the whole stock (column E).</t>
  </si>
  <si>
    <t>=SUM(E32:E41)</t>
  </si>
  <si>
    <t>Click the answer box. Type =SUM( , select E32:E41 with the mouse, type ) and press Enter. (Shortcut: Home &gt; AutoSum, the sigma button.)</t>
  </si>
  <si>
    <t>4. In column F, use IF to show "Low stock" if the quantity is under 10, otherwise "OK".</t>
  </si>
  <si>
    <t>=IF(B32&lt;10,"Low stock","OK")</t>
  </si>
  <si>
    <t>Click F32. Type =IF( then the test B32&lt;10, a comma, "Low stock", a comma, "OK" and ) . Press Enter and drag down to F41.</t>
  </si>
  <si>
    <t>5. Use COUNTIF to count how many products have low stock.</t>
  </si>
  <si>
    <t>=COUNTIF(F32:F41,"Low stock")</t>
  </si>
  <si>
    <t>Click the answer box. Type =COUNTIF( , select F32:F41, a comma, then "Low stock" in quotes, ) and press Enter.</t>
  </si>
  <si>
    <t>6. Conditional formatting on Quantity (column B): red for values under 10.</t>
  </si>
  <si>
    <t>Select B32:B41. Home &gt; Conditional Formatting &gt; Highlight Cells Rules &gt; Less Than... type 10, choose "Light Red Fill with Dark Red Text", click OK.</t>
  </si>
  <si>
    <t>TASKS (write your answers in the yellow cells)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</si>
</sst>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F6B3A"/>
      <name val="Arial"/>
      <charset val="1"/>
    </font>
    <font>
      <i/>
      <sz val="10"/>
      <name val="Arial"/>
      <charset val="1"/>
    </font>
    <font>
      <b/>
      <sz val="13"/>
      <color rgb="FF1F6B3A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color rgb="FF666666"/>
      <name val="Arial"/>
      <charset val="1"/>
    </font>
    <font>
      <sz val="10"/>
      <name val="Consolas"/>
      <charset val="1"/>
    </font>
  </fonts>
  <fills count="6">
    <fill>
      <patternFill patternType="none"/>
    </fill>
    <fill>
      <patternFill patternType="gray125"/>
    </fill>
    <fill>
      <patternFill patternType="solid">
        <fgColor rgb="FF1F6B3A"/>
        <bgColor rgb="FF006100"/>
      </patternFill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FFF2CC"/>
        <bgColor rgb="FFEDEDE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2" fontId="6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F6B3A"/>
      <rgbColor rgb="FFC0C0C0"/>
      <rgbColor rgb="FF808080"/>
      <rgbColor rgb="FF9999FF"/>
      <rgbColor rgb="FF993366"/>
      <rgbColor rgb="FFFFF2CC"/>
      <rgbColor rgb="FFE2F0D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zoomScaleNormal="100" workbookViewId="0"/>
  </sheetViews>
  <sheetFormatPr defaultColWidth="8.7109375" defaultRowHeight="15" x14ac:dyDescent="0.25"/>
  <cols>
    <col min="1" max="1" width="28" customWidth="1"/>
    <col min="2" max="2" width="14" customWidth="1"/>
    <col min="3" max="6" width="15" customWidth="1"/>
    <col min="7" max="7" width="13" customWidth="1"/>
    <col min="8" max="8" width="12" customWidth="1"/>
    <col min="9" max="9" width="34" customWidth="1"/>
    <col min="10" max="10" width="78" customWidth="1"/>
  </cols>
  <sheetData>
    <row r="1" spans="1:8" ht="20.25" x14ac:dyDescent="0.3">
      <c r="A1" s="3" t="s">
        <v>0</v>
      </c>
    </row>
    <row r="2" spans="1:8" x14ac:dyDescent="0.25">
      <c r="A2" s="4" t="s">
        <v>1</v>
      </c>
    </row>
    <row r="3" spans="1:8" x14ac:dyDescent="0.25">
      <c r="A3" s="4" t="s">
        <v>2</v>
      </c>
    </row>
    <row r="5" spans="1:8" ht="16.5" x14ac:dyDescent="0.25">
      <c r="A5" s="5" t="s">
        <v>3</v>
      </c>
    </row>
    <row r="6" spans="1:8" ht="31.5" customHeight="1" x14ac:dyDescent="0.25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</row>
    <row r="7" spans="1:8" x14ac:dyDescent="0.25">
      <c r="A7" s="7" t="s">
        <v>12</v>
      </c>
      <c r="B7" s="7" t="s">
        <v>13</v>
      </c>
      <c r="C7" s="8">
        <v>9</v>
      </c>
      <c r="D7" s="8">
        <v>10</v>
      </c>
      <c r="E7" s="8">
        <v>8</v>
      </c>
      <c r="F7" s="8">
        <v>9</v>
      </c>
      <c r="G7" s="9">
        <f t="shared" ref="G7:G18" si="0">AVERAGE(C7:F7)</f>
        <v>9</v>
      </c>
      <c r="H7" s="10" t="str">
        <f t="shared" ref="H7:H18" si="1">IF(G7&gt;=5,"Passed","Failed")</f>
        <v>Passed</v>
      </c>
    </row>
    <row r="8" spans="1:8" x14ac:dyDescent="0.25">
      <c r="A8" s="7" t="s">
        <v>14</v>
      </c>
      <c r="B8" s="7" t="s">
        <v>15</v>
      </c>
      <c r="C8" s="8">
        <v>6</v>
      </c>
      <c r="D8" s="8">
        <v>7</v>
      </c>
      <c r="E8" s="8">
        <v>9</v>
      </c>
      <c r="F8" s="8">
        <v>6</v>
      </c>
      <c r="G8" s="9">
        <f t="shared" si="0"/>
        <v>7</v>
      </c>
      <c r="H8" s="10" t="str">
        <f t="shared" si="1"/>
        <v>Passed</v>
      </c>
    </row>
    <row r="9" spans="1:8" x14ac:dyDescent="0.25">
      <c r="A9" s="7" t="s">
        <v>16</v>
      </c>
      <c r="B9" s="7" t="s">
        <v>17</v>
      </c>
      <c r="C9" s="8">
        <v>10</v>
      </c>
      <c r="D9" s="8">
        <v>9</v>
      </c>
      <c r="E9" s="8">
        <v>10</v>
      </c>
      <c r="F9" s="8">
        <v>10</v>
      </c>
      <c r="G9" s="9">
        <f t="shared" si="0"/>
        <v>9.75</v>
      </c>
      <c r="H9" s="10" t="str">
        <f t="shared" si="1"/>
        <v>Passed</v>
      </c>
    </row>
    <row r="10" spans="1:8" x14ac:dyDescent="0.25">
      <c r="A10" s="7" t="s">
        <v>18</v>
      </c>
      <c r="B10" s="7" t="s">
        <v>19</v>
      </c>
      <c r="C10" s="8">
        <v>4</v>
      </c>
      <c r="D10" s="8">
        <v>5</v>
      </c>
      <c r="E10" s="8">
        <v>6</v>
      </c>
      <c r="F10" s="8">
        <v>5</v>
      </c>
      <c r="G10" s="9">
        <f t="shared" si="0"/>
        <v>5</v>
      </c>
      <c r="H10" s="10" t="str">
        <f t="shared" si="1"/>
        <v>Passed</v>
      </c>
    </row>
    <row r="11" spans="1:8" x14ac:dyDescent="0.25">
      <c r="A11" s="7" t="s">
        <v>20</v>
      </c>
      <c r="B11" s="7" t="s">
        <v>21</v>
      </c>
      <c r="C11" s="8">
        <v>8</v>
      </c>
      <c r="D11" s="8">
        <v>8</v>
      </c>
      <c r="E11" s="8">
        <v>7</v>
      </c>
      <c r="F11" s="8">
        <v>8</v>
      </c>
      <c r="G11" s="9">
        <f t="shared" si="0"/>
        <v>7.75</v>
      </c>
      <c r="H11" s="10" t="str">
        <f t="shared" si="1"/>
        <v>Passed</v>
      </c>
    </row>
    <row r="12" spans="1:8" x14ac:dyDescent="0.25">
      <c r="A12" s="7" t="s">
        <v>22</v>
      </c>
      <c r="B12" s="7" t="s">
        <v>23</v>
      </c>
      <c r="C12" s="8">
        <v>5</v>
      </c>
      <c r="D12" s="8">
        <v>4</v>
      </c>
      <c r="E12" s="8">
        <v>8</v>
      </c>
      <c r="F12" s="8">
        <v>6</v>
      </c>
      <c r="G12" s="9">
        <f t="shared" si="0"/>
        <v>5.75</v>
      </c>
      <c r="H12" s="10" t="str">
        <f t="shared" si="1"/>
        <v>Passed</v>
      </c>
    </row>
    <row r="13" spans="1:8" x14ac:dyDescent="0.25">
      <c r="A13" s="7" t="s">
        <v>24</v>
      </c>
      <c r="B13" s="7" t="s">
        <v>25</v>
      </c>
      <c r="C13" s="8">
        <v>9</v>
      </c>
      <c r="D13" s="8">
        <v>9</v>
      </c>
      <c r="E13" s="8">
        <v>9</v>
      </c>
      <c r="F13" s="8">
        <v>9</v>
      </c>
      <c r="G13" s="9">
        <f t="shared" si="0"/>
        <v>9</v>
      </c>
      <c r="H13" s="10" t="str">
        <f t="shared" si="1"/>
        <v>Passed</v>
      </c>
    </row>
    <row r="14" spans="1:8" x14ac:dyDescent="0.25">
      <c r="A14" s="7" t="s">
        <v>26</v>
      </c>
      <c r="B14" s="7" t="s">
        <v>27</v>
      </c>
      <c r="C14" s="8">
        <v>7</v>
      </c>
      <c r="D14" s="8">
        <v>6</v>
      </c>
      <c r="E14" s="8">
        <v>5</v>
      </c>
      <c r="F14" s="8">
        <v>7</v>
      </c>
      <c r="G14" s="9">
        <f t="shared" si="0"/>
        <v>6.25</v>
      </c>
      <c r="H14" s="10" t="str">
        <f t="shared" si="1"/>
        <v>Passed</v>
      </c>
    </row>
    <row r="15" spans="1:8" x14ac:dyDescent="0.25">
      <c r="A15" s="7" t="s">
        <v>28</v>
      </c>
      <c r="B15" s="7" t="s">
        <v>29</v>
      </c>
      <c r="C15" s="8">
        <v>10</v>
      </c>
      <c r="D15" s="8">
        <v>10</v>
      </c>
      <c r="E15" s="8">
        <v>10</v>
      </c>
      <c r="F15" s="8">
        <v>9</v>
      </c>
      <c r="G15" s="9">
        <f t="shared" si="0"/>
        <v>9.75</v>
      </c>
      <c r="H15" s="10" t="str">
        <f t="shared" si="1"/>
        <v>Passed</v>
      </c>
    </row>
    <row r="16" spans="1:8" x14ac:dyDescent="0.25">
      <c r="A16" s="7" t="s">
        <v>30</v>
      </c>
      <c r="B16" s="7" t="s">
        <v>31</v>
      </c>
      <c r="C16" s="8">
        <v>3</v>
      </c>
      <c r="D16" s="8">
        <v>6</v>
      </c>
      <c r="E16" s="8">
        <v>7</v>
      </c>
      <c r="F16" s="8">
        <v>5</v>
      </c>
      <c r="G16" s="9">
        <f t="shared" si="0"/>
        <v>5.25</v>
      </c>
      <c r="H16" s="10" t="str">
        <f t="shared" si="1"/>
        <v>Passed</v>
      </c>
    </row>
    <row r="17" spans="1:10" x14ac:dyDescent="0.25">
      <c r="A17" s="7" t="s">
        <v>32</v>
      </c>
      <c r="B17" s="7" t="s">
        <v>33</v>
      </c>
      <c r="C17" s="8">
        <v>8</v>
      </c>
      <c r="D17" s="8">
        <v>7</v>
      </c>
      <c r="E17" s="8">
        <v>9</v>
      </c>
      <c r="F17" s="8">
        <v>8</v>
      </c>
      <c r="G17" s="9">
        <f t="shared" si="0"/>
        <v>8</v>
      </c>
      <c r="H17" s="10" t="str">
        <f t="shared" si="1"/>
        <v>Passed</v>
      </c>
    </row>
    <row r="18" spans="1:10" x14ac:dyDescent="0.25">
      <c r="A18" s="7" t="s">
        <v>34</v>
      </c>
      <c r="B18" s="7" t="s">
        <v>35</v>
      </c>
      <c r="C18" s="8">
        <v>6</v>
      </c>
      <c r="D18" s="8">
        <v>6</v>
      </c>
      <c r="E18" s="8">
        <v>6</v>
      </c>
      <c r="F18" s="8">
        <v>6</v>
      </c>
      <c r="G18" s="9">
        <f t="shared" si="0"/>
        <v>6</v>
      </c>
      <c r="H18" s="10" t="str">
        <f t="shared" si="1"/>
        <v>Passed</v>
      </c>
    </row>
    <row r="19" spans="1:10" x14ac:dyDescent="0.25">
      <c r="A19" s="11" t="s">
        <v>36</v>
      </c>
      <c r="B19" s="7"/>
      <c r="C19" s="12">
        <f>AVERAGE(C7:C18)</f>
        <v>7.083333333333333</v>
      </c>
      <c r="D19" s="12">
        <f>AVERAGE(D7:D18)</f>
        <v>7.25</v>
      </c>
      <c r="E19" s="12">
        <f>AVERAGE(E7:E18)</f>
        <v>7.833333333333333</v>
      </c>
      <c r="F19" s="12">
        <f>AVERAGE(F7:F18)</f>
        <v>7.333333333333333</v>
      </c>
      <c r="G19" s="12">
        <f>AVERAGE(G7:G18)</f>
        <v>7.375</v>
      </c>
      <c r="H19" s="8"/>
    </row>
    <row r="21" spans="1:10" ht="15" customHeight="1" x14ac:dyDescent="0.25">
      <c r="A21" s="2" t="s">
        <v>37</v>
      </c>
      <c r="B21" s="2"/>
      <c r="C21" s="2"/>
      <c r="D21" s="2"/>
      <c r="E21" s="2"/>
      <c r="F21" s="2"/>
      <c r="G21" s="6" t="s">
        <v>38</v>
      </c>
      <c r="I21" s="6" t="s">
        <v>39</v>
      </c>
      <c r="J21" s="6" t="s">
        <v>40</v>
      </c>
    </row>
    <row r="22" spans="1:10" ht="45" customHeight="1" x14ac:dyDescent="0.25">
      <c r="A22" s="1" t="s">
        <v>41</v>
      </c>
      <c r="B22" s="1"/>
      <c r="C22" s="1"/>
      <c r="D22" s="1"/>
      <c r="E22" s="1"/>
      <c r="F22" s="1"/>
      <c r="G22" s="13" t="s">
        <v>42</v>
      </c>
      <c r="I22" s="14" t="s">
        <v>43</v>
      </c>
      <c r="J22" s="15" t="s">
        <v>44</v>
      </c>
    </row>
    <row r="23" spans="1:10" ht="45" customHeight="1" x14ac:dyDescent="0.25">
      <c r="A23" s="1" t="s">
        <v>45</v>
      </c>
      <c r="B23" s="1"/>
      <c r="C23" s="1"/>
      <c r="D23" s="1"/>
      <c r="E23" s="1"/>
      <c r="F23" s="1"/>
      <c r="G23" s="13" t="s">
        <v>42</v>
      </c>
      <c r="I23" s="14" t="s">
        <v>46</v>
      </c>
      <c r="J23" s="15" t="s">
        <v>47</v>
      </c>
    </row>
    <row r="24" spans="1:10" ht="45" customHeight="1" x14ac:dyDescent="0.25">
      <c r="A24" s="1" t="s">
        <v>48</v>
      </c>
      <c r="B24" s="1"/>
      <c r="C24" s="1"/>
      <c r="D24" s="1"/>
      <c r="E24" s="1"/>
      <c r="F24" s="1"/>
      <c r="G24" s="13" t="s">
        <v>49</v>
      </c>
      <c r="I24" s="14" t="s">
        <v>50</v>
      </c>
      <c r="J24" s="15" t="s">
        <v>51</v>
      </c>
    </row>
    <row r="25" spans="1:10" ht="45" customHeight="1" x14ac:dyDescent="0.25">
      <c r="A25" s="1" t="s">
        <v>52</v>
      </c>
      <c r="B25" s="1"/>
      <c r="C25" s="1"/>
      <c r="D25" s="1"/>
      <c r="E25" s="1"/>
      <c r="F25" s="1"/>
      <c r="G25" s="13" t="s">
        <v>42</v>
      </c>
      <c r="I25" s="14" t="s">
        <v>53</v>
      </c>
      <c r="J25" s="15" t="s">
        <v>54</v>
      </c>
    </row>
    <row r="26" spans="1:10" ht="31.5" customHeight="1" x14ac:dyDescent="0.25">
      <c r="A26" s="1" t="s">
        <v>55</v>
      </c>
      <c r="B26" s="1"/>
      <c r="C26" s="1"/>
      <c r="D26" s="1"/>
      <c r="E26" s="1"/>
      <c r="F26" s="1"/>
      <c r="G26" s="16">
        <f>MAX(G7:G18)</f>
        <v>9.75</v>
      </c>
      <c r="I26" s="14" t="s">
        <v>56</v>
      </c>
      <c r="J26" s="15" t="s">
        <v>57</v>
      </c>
    </row>
    <row r="27" spans="1:10" ht="31.5" customHeight="1" x14ac:dyDescent="0.25">
      <c r="A27" s="1" t="s">
        <v>58</v>
      </c>
      <c r="B27" s="1"/>
      <c r="C27" s="1"/>
      <c r="D27" s="1"/>
      <c r="E27" s="1"/>
      <c r="F27" s="1"/>
      <c r="G27" s="16">
        <f>MIN(G7:G18)</f>
        <v>5</v>
      </c>
      <c r="I27" s="14" t="s">
        <v>59</v>
      </c>
      <c r="J27" s="15" t="s">
        <v>60</v>
      </c>
    </row>
    <row r="28" spans="1:10" ht="45" customHeight="1" x14ac:dyDescent="0.25">
      <c r="A28" s="1" t="s">
        <v>61</v>
      </c>
      <c r="B28" s="1"/>
      <c r="C28" s="1"/>
      <c r="D28" s="1"/>
      <c r="E28" s="1"/>
      <c r="F28" s="1"/>
      <c r="G28" s="17">
        <f>COUNTIF(G7:G18,"&gt;=8")</f>
        <v>5</v>
      </c>
      <c r="I28" s="14" t="s">
        <v>62</v>
      </c>
      <c r="J28" s="15" t="s">
        <v>63</v>
      </c>
    </row>
    <row r="30" spans="1:10" ht="16.5" x14ac:dyDescent="0.25">
      <c r="A30" s="5" t="s">
        <v>64</v>
      </c>
    </row>
    <row r="31" spans="1:10" ht="31.5" customHeight="1" x14ac:dyDescent="0.25">
      <c r="A31" s="6" t="s">
        <v>65</v>
      </c>
      <c r="B31" s="6" t="s">
        <v>66</v>
      </c>
      <c r="C31" s="6" t="s">
        <v>67</v>
      </c>
      <c r="D31" s="6" t="s">
        <v>68</v>
      </c>
      <c r="E31" s="6" t="s">
        <v>69</v>
      </c>
      <c r="F31" s="6" t="s">
        <v>70</v>
      </c>
    </row>
    <row r="32" spans="1:10" x14ac:dyDescent="0.25">
      <c r="A32" s="7" t="s">
        <v>71</v>
      </c>
      <c r="B32" s="7">
        <v>45</v>
      </c>
      <c r="C32" s="18">
        <v>4.5</v>
      </c>
      <c r="D32" s="9">
        <f t="shared" ref="D32:D41" si="2">C32*1.19</f>
        <v>5.3549999999999995</v>
      </c>
      <c r="E32" s="9">
        <f t="shared" ref="E32:E41" si="3">B32*D32</f>
        <v>240.97499999999997</v>
      </c>
      <c r="F32" s="10" t="str">
        <f t="shared" ref="F32:F41" si="4">IF(B32&lt;10,"Low stock","OK")</f>
        <v>OK</v>
      </c>
    </row>
    <row r="33" spans="1:10" x14ac:dyDescent="0.25">
      <c r="A33" s="7" t="s">
        <v>72</v>
      </c>
      <c r="B33" s="7">
        <v>60</v>
      </c>
      <c r="C33" s="18">
        <v>2.2000000000000002</v>
      </c>
      <c r="D33" s="9">
        <f t="shared" si="2"/>
        <v>2.6179999999999999</v>
      </c>
      <c r="E33" s="9">
        <f t="shared" si="3"/>
        <v>157.07999999999998</v>
      </c>
      <c r="F33" s="10" t="str">
        <f t="shared" si="4"/>
        <v>OK</v>
      </c>
    </row>
    <row r="34" spans="1:10" x14ac:dyDescent="0.25">
      <c r="A34" s="7" t="s">
        <v>73</v>
      </c>
      <c r="B34" s="7">
        <v>8</v>
      </c>
      <c r="C34" s="18">
        <v>1.5</v>
      </c>
      <c r="D34" s="9">
        <f t="shared" si="2"/>
        <v>1.7849999999999999</v>
      </c>
      <c r="E34" s="9">
        <f t="shared" si="3"/>
        <v>14.28</v>
      </c>
      <c r="F34" s="10" t="str">
        <f t="shared" si="4"/>
        <v>Low stock</v>
      </c>
    </row>
    <row r="35" spans="1:10" x14ac:dyDescent="0.25">
      <c r="A35" s="7" t="s">
        <v>74</v>
      </c>
      <c r="B35" s="7">
        <v>25</v>
      </c>
      <c r="C35" s="18">
        <v>1</v>
      </c>
      <c r="D35" s="9">
        <f t="shared" si="2"/>
        <v>1.19</v>
      </c>
      <c r="E35" s="9">
        <f t="shared" si="3"/>
        <v>29.75</v>
      </c>
      <c r="F35" s="10" t="str">
        <f t="shared" si="4"/>
        <v>OK</v>
      </c>
    </row>
    <row r="36" spans="1:10" x14ac:dyDescent="0.25">
      <c r="A36" s="7" t="s">
        <v>75</v>
      </c>
      <c r="B36" s="7">
        <v>6</v>
      </c>
      <c r="C36" s="18">
        <v>15</v>
      </c>
      <c r="D36" s="9">
        <f t="shared" si="2"/>
        <v>17.849999999999998</v>
      </c>
      <c r="E36" s="9">
        <f t="shared" si="3"/>
        <v>107.1</v>
      </c>
      <c r="F36" s="10" t="str">
        <f t="shared" si="4"/>
        <v>Low stock</v>
      </c>
    </row>
    <row r="37" spans="1:10" x14ac:dyDescent="0.25">
      <c r="A37" s="7" t="s">
        <v>76</v>
      </c>
      <c r="B37" s="7">
        <v>14</v>
      </c>
      <c r="C37" s="18">
        <v>12.5</v>
      </c>
      <c r="D37" s="9">
        <f t="shared" si="2"/>
        <v>14.875</v>
      </c>
      <c r="E37" s="9">
        <f t="shared" si="3"/>
        <v>208.25</v>
      </c>
      <c r="F37" s="10" t="str">
        <f t="shared" si="4"/>
        <v>OK</v>
      </c>
    </row>
    <row r="38" spans="1:10" x14ac:dyDescent="0.25">
      <c r="A38" s="7" t="s">
        <v>77</v>
      </c>
      <c r="B38" s="7">
        <v>9</v>
      </c>
      <c r="C38" s="18">
        <v>3</v>
      </c>
      <c r="D38" s="9">
        <f t="shared" si="2"/>
        <v>3.57</v>
      </c>
      <c r="E38" s="9">
        <f t="shared" si="3"/>
        <v>32.129999999999995</v>
      </c>
      <c r="F38" s="10" t="str">
        <f t="shared" si="4"/>
        <v>Low stock</v>
      </c>
    </row>
    <row r="39" spans="1:10" x14ac:dyDescent="0.25">
      <c r="A39" s="7" t="s">
        <v>78</v>
      </c>
      <c r="B39" s="7">
        <v>30</v>
      </c>
      <c r="C39" s="18">
        <v>2</v>
      </c>
      <c r="D39" s="9">
        <f t="shared" si="2"/>
        <v>2.38</v>
      </c>
      <c r="E39" s="9">
        <f t="shared" si="3"/>
        <v>71.399999999999991</v>
      </c>
      <c r="F39" s="10" t="str">
        <f t="shared" si="4"/>
        <v>OK</v>
      </c>
    </row>
    <row r="40" spans="1:10" x14ac:dyDescent="0.25">
      <c r="A40" s="7" t="s">
        <v>79</v>
      </c>
      <c r="B40" s="7">
        <v>4</v>
      </c>
      <c r="C40" s="18">
        <v>18</v>
      </c>
      <c r="D40" s="9">
        <f t="shared" si="2"/>
        <v>21.419999999999998</v>
      </c>
      <c r="E40" s="9">
        <f t="shared" si="3"/>
        <v>85.679999999999993</v>
      </c>
      <c r="F40" s="10" t="str">
        <f t="shared" si="4"/>
        <v>Low stock</v>
      </c>
    </row>
    <row r="41" spans="1:10" x14ac:dyDescent="0.25">
      <c r="A41" s="7" t="s">
        <v>80</v>
      </c>
      <c r="B41" s="7">
        <v>7</v>
      </c>
      <c r="C41" s="18">
        <v>6.5</v>
      </c>
      <c r="D41" s="9">
        <f t="shared" si="2"/>
        <v>7.7349999999999994</v>
      </c>
      <c r="E41" s="9">
        <f t="shared" si="3"/>
        <v>54.144999999999996</v>
      </c>
      <c r="F41" s="10" t="str">
        <f t="shared" si="4"/>
        <v>Low stock</v>
      </c>
    </row>
    <row r="43" spans="1:10" ht="15" customHeight="1" x14ac:dyDescent="0.25">
      <c r="A43" s="2" t="s">
        <v>37</v>
      </c>
      <c r="B43" s="2"/>
      <c r="C43" s="2"/>
      <c r="D43" s="2"/>
      <c r="E43" s="2"/>
      <c r="F43" s="6" t="s">
        <v>38</v>
      </c>
      <c r="I43" s="6" t="s">
        <v>39</v>
      </c>
      <c r="J43" s="6" t="s">
        <v>40</v>
      </c>
    </row>
    <row r="44" spans="1:10" ht="31.5" customHeight="1" x14ac:dyDescent="0.25">
      <c r="A44" s="1" t="s">
        <v>81</v>
      </c>
      <c r="B44" s="1"/>
      <c r="C44" s="1"/>
      <c r="D44" s="1"/>
      <c r="E44" s="1"/>
      <c r="F44" s="13" t="s">
        <v>42</v>
      </c>
      <c r="I44" s="14" t="s">
        <v>82</v>
      </c>
      <c r="J44" s="15" t="s">
        <v>83</v>
      </c>
    </row>
    <row r="45" spans="1:10" ht="31.5" customHeight="1" x14ac:dyDescent="0.25">
      <c r="A45" s="1" t="s">
        <v>84</v>
      </c>
      <c r="B45" s="1"/>
      <c r="C45" s="1"/>
      <c r="D45" s="1"/>
      <c r="E45" s="1"/>
      <c r="F45" s="13" t="s">
        <v>42</v>
      </c>
      <c r="I45" s="14" t="s">
        <v>85</v>
      </c>
      <c r="J45" s="15" t="s">
        <v>86</v>
      </c>
    </row>
    <row r="46" spans="1:10" ht="31.5" customHeight="1" x14ac:dyDescent="0.25">
      <c r="A46" s="1" t="s">
        <v>87</v>
      </c>
      <c r="B46" s="1"/>
      <c r="C46" s="1"/>
      <c r="D46" s="1"/>
      <c r="E46" s="1"/>
      <c r="F46" s="17">
        <f>SUM(E32:E41)</f>
        <v>1000.7899999999998</v>
      </c>
      <c r="I46" s="14" t="s">
        <v>88</v>
      </c>
      <c r="J46" s="15" t="s">
        <v>89</v>
      </c>
    </row>
    <row r="47" spans="1:10" ht="31.5" customHeight="1" x14ac:dyDescent="0.25">
      <c r="A47" s="1" t="s">
        <v>90</v>
      </c>
      <c r="B47" s="1"/>
      <c r="C47" s="1"/>
      <c r="D47" s="1"/>
      <c r="E47" s="1"/>
      <c r="F47" s="13" t="s">
        <v>42</v>
      </c>
      <c r="I47" s="14" t="s">
        <v>91</v>
      </c>
      <c r="J47" s="15" t="s">
        <v>92</v>
      </c>
    </row>
    <row r="48" spans="1:10" ht="31.5" customHeight="1" x14ac:dyDescent="0.25">
      <c r="A48" s="1" t="s">
        <v>93</v>
      </c>
      <c r="B48" s="1"/>
      <c r="C48" s="1"/>
      <c r="D48" s="1"/>
      <c r="E48" s="1"/>
      <c r="F48" s="17">
        <f>COUNTIF(F32:F41,"Low stock")</f>
        <v>5</v>
      </c>
      <c r="I48" s="14" t="s">
        <v>94</v>
      </c>
      <c r="J48" s="15" t="s">
        <v>95</v>
      </c>
    </row>
    <row r="49" spans="1:10" ht="45" customHeight="1" x14ac:dyDescent="0.25">
      <c r="A49" s="1" t="s">
        <v>96</v>
      </c>
      <c r="B49" s="1"/>
      <c r="C49" s="1"/>
      <c r="D49" s="1"/>
      <c r="E49" s="1"/>
      <c r="F49" s="13" t="s">
        <v>49</v>
      </c>
      <c r="I49" s="14" t="s">
        <v>50</v>
      </c>
      <c r="J49" s="15" t="s">
        <v>97</v>
      </c>
    </row>
  </sheetData>
  <mergeCells count="15">
    <mergeCell ref="A45:E45"/>
    <mergeCell ref="A46:E46"/>
    <mergeCell ref="A47:E47"/>
    <mergeCell ref="A48:E48"/>
    <mergeCell ref="A49:E49"/>
    <mergeCell ref="A26:F26"/>
    <mergeCell ref="A27:F27"/>
    <mergeCell ref="A28:F28"/>
    <mergeCell ref="A43:E43"/>
    <mergeCell ref="A44:E44"/>
    <mergeCell ref="A21:F21"/>
    <mergeCell ref="A22:F22"/>
    <mergeCell ref="A23:F23"/>
    <mergeCell ref="A24:F24"/>
    <mergeCell ref="A25:F25"/>
  </mergeCells>
  <conditionalFormatting sqref="B32:B41">
    <cfRule type="cellIs" dxfId="2" priority="4" operator="lessThan">
      <formula>10</formula>
    </cfRule>
  </conditionalFormatting>
  <conditionalFormatting sqref="C7:F18">
    <cfRule type="cellIs" dxfId="1" priority="2" operator="greaterThanOrEqual">
      <formula>9</formula>
    </cfRule>
    <cfRule type="cellIs" dxfId="0" priority="3" operator="lessThan">
      <formula>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Normal="100" workbookViewId="0">
      <pane ySplit="1" topLeftCell="A2" activePane="bottomLeft" state="frozen"/>
      <selection pane="bottomLeft" activeCell="G17" sqref="G17"/>
    </sheetView>
  </sheetViews>
  <sheetFormatPr defaultColWidth="8.7109375" defaultRowHeight="15" x14ac:dyDescent="0.25"/>
  <cols>
    <col min="1" max="1" width="28" customWidth="1"/>
    <col min="2" max="2" width="14" customWidth="1"/>
    <col min="3" max="6" width="15" customWidth="1"/>
    <col min="7" max="7" width="13" customWidth="1"/>
    <col min="8" max="8" width="12" customWidth="1"/>
  </cols>
  <sheetData>
    <row r="1" spans="1:8" ht="31.5" customHeight="1" x14ac:dyDescent="0.25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</row>
    <row r="2" spans="1:8" x14ac:dyDescent="0.25">
      <c r="A2" s="7" t="s">
        <v>12</v>
      </c>
      <c r="B2" s="7" t="s">
        <v>13</v>
      </c>
      <c r="C2" s="8">
        <v>9</v>
      </c>
      <c r="D2" s="8">
        <v>10</v>
      </c>
      <c r="E2" s="8">
        <v>8</v>
      </c>
      <c r="F2" s="8">
        <v>9</v>
      </c>
      <c r="G2" s="19"/>
      <c r="H2" s="20"/>
    </row>
    <row r="3" spans="1:8" x14ac:dyDescent="0.25">
      <c r="A3" s="7" t="s">
        <v>14</v>
      </c>
      <c r="B3" s="7" t="s">
        <v>15</v>
      </c>
      <c r="C3" s="8">
        <v>6</v>
      </c>
      <c r="D3" s="8">
        <v>7</v>
      </c>
      <c r="E3" s="8">
        <v>9</v>
      </c>
      <c r="F3" s="8">
        <v>6</v>
      </c>
      <c r="G3" s="19"/>
      <c r="H3" s="20"/>
    </row>
    <row r="4" spans="1:8" x14ac:dyDescent="0.25">
      <c r="A4" s="7" t="s">
        <v>16</v>
      </c>
      <c r="B4" s="7" t="s">
        <v>17</v>
      </c>
      <c r="C4" s="8">
        <v>10</v>
      </c>
      <c r="D4" s="8">
        <v>9</v>
      </c>
      <c r="E4" s="8">
        <v>10</v>
      </c>
      <c r="F4" s="8">
        <v>10</v>
      </c>
      <c r="G4" s="19"/>
      <c r="H4" s="20"/>
    </row>
    <row r="5" spans="1:8" x14ac:dyDescent="0.25">
      <c r="A5" s="7" t="s">
        <v>18</v>
      </c>
      <c r="B5" s="7" t="s">
        <v>19</v>
      </c>
      <c r="C5" s="8">
        <v>4</v>
      </c>
      <c r="D5" s="8">
        <v>5</v>
      </c>
      <c r="E5" s="8">
        <v>6</v>
      </c>
      <c r="F5" s="8">
        <v>5</v>
      </c>
      <c r="G5" s="19"/>
      <c r="H5" s="20"/>
    </row>
    <row r="6" spans="1:8" x14ac:dyDescent="0.25">
      <c r="A6" s="7" t="s">
        <v>20</v>
      </c>
      <c r="B6" s="7" t="s">
        <v>21</v>
      </c>
      <c r="C6" s="8">
        <v>8</v>
      </c>
      <c r="D6" s="8">
        <v>8</v>
      </c>
      <c r="E6" s="8">
        <v>7</v>
      </c>
      <c r="F6" s="8">
        <v>8</v>
      </c>
      <c r="G6" s="19"/>
      <c r="H6" s="20"/>
    </row>
    <row r="7" spans="1:8" x14ac:dyDescent="0.25">
      <c r="A7" s="7" t="s">
        <v>22</v>
      </c>
      <c r="B7" s="7" t="s">
        <v>23</v>
      </c>
      <c r="C7" s="8">
        <v>5</v>
      </c>
      <c r="D7" s="8">
        <v>4</v>
      </c>
      <c r="E7" s="8">
        <v>8</v>
      </c>
      <c r="F7" s="8">
        <v>6</v>
      </c>
      <c r="G7" s="19"/>
      <c r="H7" s="20"/>
    </row>
    <row r="8" spans="1:8" x14ac:dyDescent="0.25">
      <c r="A8" s="7" t="s">
        <v>24</v>
      </c>
      <c r="B8" s="7" t="s">
        <v>25</v>
      </c>
      <c r="C8" s="8">
        <v>9</v>
      </c>
      <c r="D8" s="8">
        <v>9</v>
      </c>
      <c r="E8" s="8">
        <v>9</v>
      </c>
      <c r="F8" s="8">
        <v>9</v>
      </c>
      <c r="G8" s="19"/>
      <c r="H8" s="20"/>
    </row>
    <row r="9" spans="1:8" x14ac:dyDescent="0.25">
      <c r="A9" s="7" t="s">
        <v>26</v>
      </c>
      <c r="B9" s="7" t="s">
        <v>27</v>
      </c>
      <c r="C9" s="8">
        <v>7</v>
      </c>
      <c r="D9" s="8">
        <v>6</v>
      </c>
      <c r="E9" s="8">
        <v>5</v>
      </c>
      <c r="F9" s="8">
        <v>7</v>
      </c>
      <c r="G9" s="19"/>
      <c r="H9" s="20"/>
    </row>
    <row r="10" spans="1:8" x14ac:dyDescent="0.25">
      <c r="A10" s="7" t="s">
        <v>28</v>
      </c>
      <c r="B10" s="7" t="s">
        <v>29</v>
      </c>
      <c r="C10" s="8">
        <v>10</v>
      </c>
      <c r="D10" s="8">
        <v>10</v>
      </c>
      <c r="E10" s="8">
        <v>10</v>
      </c>
      <c r="F10" s="8">
        <v>9</v>
      </c>
      <c r="G10" s="19"/>
      <c r="H10" s="20"/>
    </row>
    <row r="11" spans="1:8" x14ac:dyDescent="0.25">
      <c r="A11" s="7" t="s">
        <v>30</v>
      </c>
      <c r="B11" s="7" t="s">
        <v>31</v>
      </c>
      <c r="C11" s="8">
        <v>3</v>
      </c>
      <c r="D11" s="8">
        <v>6</v>
      </c>
      <c r="E11" s="8">
        <v>7</v>
      </c>
      <c r="F11" s="8">
        <v>5</v>
      </c>
      <c r="G11" s="19"/>
      <c r="H11" s="20"/>
    </row>
    <row r="12" spans="1:8" x14ac:dyDescent="0.25">
      <c r="A12" s="7" t="s">
        <v>32</v>
      </c>
      <c r="B12" s="7" t="s">
        <v>33</v>
      </c>
      <c r="C12" s="8">
        <v>8</v>
      </c>
      <c r="D12" s="8">
        <v>7</v>
      </c>
      <c r="E12" s="8">
        <v>9</v>
      </c>
      <c r="F12" s="8">
        <v>8</v>
      </c>
      <c r="G12" s="19"/>
      <c r="H12" s="20"/>
    </row>
    <row r="13" spans="1:8" x14ac:dyDescent="0.25">
      <c r="A13" s="7" t="s">
        <v>34</v>
      </c>
      <c r="B13" s="7" t="s">
        <v>35</v>
      </c>
      <c r="C13" s="8">
        <v>6</v>
      </c>
      <c r="D13" s="8">
        <v>6</v>
      </c>
      <c r="E13" s="8">
        <v>6</v>
      </c>
      <c r="F13" s="8">
        <v>6</v>
      </c>
      <c r="G13" s="19"/>
      <c r="H13" s="20"/>
    </row>
    <row r="14" spans="1:8" x14ac:dyDescent="0.25">
      <c r="A14" s="11" t="s">
        <v>36</v>
      </c>
      <c r="B14" s="7"/>
      <c r="C14" s="21"/>
      <c r="D14" s="21"/>
      <c r="E14" s="21"/>
      <c r="F14" s="21"/>
      <c r="G14" s="21"/>
      <c r="H14" s="8"/>
    </row>
    <row r="16" spans="1:8" ht="15" customHeight="1" x14ac:dyDescent="0.25">
      <c r="A16" s="2" t="s">
        <v>98</v>
      </c>
      <c r="B16" s="2"/>
      <c r="C16" s="2"/>
      <c r="D16" s="2"/>
      <c r="E16" s="2"/>
      <c r="F16" s="2"/>
      <c r="G16" s="6" t="s">
        <v>38</v>
      </c>
    </row>
    <row r="17" spans="1:7" ht="30" customHeight="1" x14ac:dyDescent="0.25">
      <c r="A17" s="1" t="s">
        <v>41</v>
      </c>
      <c r="B17" s="1"/>
      <c r="C17" s="1"/>
      <c r="D17" s="1"/>
      <c r="E17" s="1"/>
      <c r="F17" s="1"/>
      <c r="G17" s="13" t="s">
        <v>42</v>
      </c>
    </row>
    <row r="18" spans="1:7" ht="30" customHeight="1" x14ac:dyDescent="0.25">
      <c r="A18" s="1" t="s">
        <v>45</v>
      </c>
      <c r="B18" s="1"/>
      <c r="C18" s="1"/>
      <c r="D18" s="1"/>
      <c r="E18" s="1"/>
      <c r="F18" s="1"/>
      <c r="G18" s="13" t="s">
        <v>42</v>
      </c>
    </row>
    <row r="19" spans="1:7" ht="30" customHeight="1" x14ac:dyDescent="0.25">
      <c r="A19" s="1" t="s">
        <v>48</v>
      </c>
      <c r="B19" s="1"/>
      <c r="C19" s="1"/>
      <c r="D19" s="1"/>
      <c r="E19" s="1"/>
      <c r="F19" s="1"/>
      <c r="G19" s="13" t="s">
        <v>49</v>
      </c>
    </row>
    <row r="20" spans="1:7" ht="30" customHeight="1" x14ac:dyDescent="0.25">
      <c r="A20" s="1" t="s">
        <v>52</v>
      </c>
      <c r="B20" s="1"/>
      <c r="C20" s="1"/>
      <c r="D20" s="1"/>
      <c r="E20" s="1"/>
      <c r="F20" s="1"/>
      <c r="G20" s="13" t="s">
        <v>42</v>
      </c>
    </row>
    <row r="21" spans="1:7" ht="30" customHeight="1" x14ac:dyDescent="0.25">
      <c r="A21" s="1" t="s">
        <v>55</v>
      </c>
      <c r="B21" s="1"/>
      <c r="C21" s="1"/>
      <c r="D21" s="1"/>
      <c r="E21" s="1"/>
      <c r="F21" s="1"/>
      <c r="G21" s="22"/>
    </row>
    <row r="22" spans="1:7" ht="30" customHeight="1" x14ac:dyDescent="0.25">
      <c r="A22" s="1" t="s">
        <v>58</v>
      </c>
      <c r="B22" s="1"/>
      <c r="C22" s="1"/>
      <c r="D22" s="1"/>
      <c r="E22" s="1"/>
      <c r="F22" s="1"/>
      <c r="G22" s="22"/>
    </row>
    <row r="23" spans="1:7" ht="30" customHeight="1" x14ac:dyDescent="0.25">
      <c r="A23" s="1" t="s">
        <v>61</v>
      </c>
      <c r="B23" s="1"/>
      <c r="C23" s="1"/>
      <c r="D23" s="1"/>
      <c r="E23" s="1"/>
      <c r="F23" s="1"/>
      <c r="G23" s="22"/>
    </row>
  </sheetData>
  <mergeCells count="8">
    <mergeCell ref="A21:F21"/>
    <mergeCell ref="A22:F22"/>
    <mergeCell ref="A23:F23"/>
    <mergeCell ref="A16:F16"/>
    <mergeCell ref="A17:F17"/>
    <mergeCell ref="A18:F18"/>
    <mergeCell ref="A19:F19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abSelected="1" zoomScaleNormal="100" workbookViewId="0">
      <pane ySplit="1" topLeftCell="A2" activePane="bottomLeft" state="frozen"/>
      <selection pane="bottomLeft" activeCell="G15" sqref="G15"/>
    </sheetView>
  </sheetViews>
  <sheetFormatPr defaultColWidth="8.7109375" defaultRowHeight="15" x14ac:dyDescent="0.25"/>
  <cols>
    <col min="1" max="1" width="28" customWidth="1"/>
    <col min="2" max="2" width="14" customWidth="1"/>
    <col min="3" max="6" width="15" customWidth="1"/>
    <col min="7" max="7" width="13" customWidth="1"/>
    <col min="8" max="8" width="12" customWidth="1"/>
  </cols>
  <sheetData>
    <row r="1" spans="1:6" ht="31.5" customHeight="1" x14ac:dyDescent="0.25">
      <c r="A1" s="6" t="s">
        <v>65</v>
      </c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</row>
    <row r="2" spans="1:6" x14ac:dyDescent="0.25">
      <c r="A2" s="7" t="s">
        <v>71</v>
      </c>
      <c r="B2" s="7">
        <v>45</v>
      </c>
      <c r="C2" s="18">
        <v>4.5</v>
      </c>
      <c r="D2" s="19"/>
      <c r="E2" s="19"/>
      <c r="F2" s="20"/>
    </row>
    <row r="3" spans="1:6" x14ac:dyDescent="0.25">
      <c r="A3" s="7" t="s">
        <v>72</v>
      </c>
      <c r="B3" s="7">
        <v>60</v>
      </c>
      <c r="C3" s="18">
        <v>2.2000000000000002</v>
      </c>
      <c r="D3" s="19"/>
      <c r="E3" s="19"/>
      <c r="F3" s="20"/>
    </row>
    <row r="4" spans="1:6" x14ac:dyDescent="0.25">
      <c r="A4" s="7" t="s">
        <v>73</v>
      </c>
      <c r="B4" s="7">
        <v>8</v>
      </c>
      <c r="C4" s="18">
        <v>1.5</v>
      </c>
      <c r="D4" s="19"/>
      <c r="E4" s="19"/>
      <c r="F4" s="20"/>
    </row>
    <row r="5" spans="1:6" x14ac:dyDescent="0.25">
      <c r="A5" s="7" t="s">
        <v>74</v>
      </c>
      <c r="B5" s="7">
        <v>25</v>
      </c>
      <c r="C5" s="18">
        <v>1</v>
      </c>
      <c r="D5" s="19"/>
      <c r="E5" s="19"/>
      <c r="F5" s="20"/>
    </row>
    <row r="6" spans="1:6" x14ac:dyDescent="0.25">
      <c r="A6" s="7" t="s">
        <v>75</v>
      </c>
      <c r="B6" s="7">
        <v>6</v>
      </c>
      <c r="C6" s="18">
        <v>15</v>
      </c>
      <c r="D6" s="19"/>
      <c r="E6" s="19"/>
      <c r="F6" s="20"/>
    </row>
    <row r="7" spans="1:6" x14ac:dyDescent="0.25">
      <c r="A7" s="7" t="s">
        <v>76</v>
      </c>
      <c r="B7" s="7">
        <v>14</v>
      </c>
      <c r="C7" s="18">
        <v>12.5</v>
      </c>
      <c r="D7" s="19"/>
      <c r="E7" s="19"/>
      <c r="F7" s="20"/>
    </row>
    <row r="8" spans="1:6" x14ac:dyDescent="0.25">
      <c r="A8" s="7" t="s">
        <v>77</v>
      </c>
      <c r="B8" s="7">
        <v>9</v>
      </c>
      <c r="C8" s="18">
        <v>3</v>
      </c>
      <c r="D8" s="19"/>
      <c r="E8" s="19"/>
      <c r="F8" s="20"/>
    </row>
    <row r="9" spans="1:6" x14ac:dyDescent="0.25">
      <c r="A9" s="7" t="s">
        <v>78</v>
      </c>
      <c r="B9" s="7">
        <v>30</v>
      </c>
      <c r="C9" s="18">
        <v>2</v>
      </c>
      <c r="D9" s="19"/>
      <c r="E9" s="19"/>
      <c r="F9" s="20"/>
    </row>
    <row r="10" spans="1:6" x14ac:dyDescent="0.25">
      <c r="A10" s="7" t="s">
        <v>79</v>
      </c>
      <c r="B10" s="7">
        <v>4</v>
      </c>
      <c r="C10" s="18">
        <v>18</v>
      </c>
      <c r="D10" s="19"/>
      <c r="E10" s="19"/>
      <c r="F10" s="20"/>
    </row>
    <row r="11" spans="1:6" x14ac:dyDescent="0.25">
      <c r="A11" s="7" t="s">
        <v>80</v>
      </c>
      <c r="B11" s="7">
        <v>7</v>
      </c>
      <c r="C11" s="18">
        <v>6.5</v>
      </c>
      <c r="D11" s="19"/>
      <c r="E11" s="19"/>
      <c r="F11" s="20"/>
    </row>
    <row r="13" spans="1:6" ht="15" customHeight="1" x14ac:dyDescent="0.25">
      <c r="A13" s="2" t="s">
        <v>98</v>
      </c>
      <c r="B13" s="2"/>
      <c r="C13" s="2"/>
      <c r="D13" s="2"/>
      <c r="E13" s="2"/>
      <c r="F13" s="6" t="s">
        <v>38</v>
      </c>
    </row>
    <row r="14" spans="1:6" ht="30" customHeight="1" x14ac:dyDescent="0.25">
      <c r="A14" s="1" t="s">
        <v>81</v>
      </c>
      <c r="B14" s="1"/>
      <c r="C14" s="1"/>
      <c r="D14" s="1"/>
      <c r="E14" s="1"/>
      <c r="F14" s="13" t="s">
        <v>42</v>
      </c>
    </row>
    <row r="15" spans="1:6" ht="30" customHeight="1" x14ac:dyDescent="0.25">
      <c r="A15" s="1" t="s">
        <v>84</v>
      </c>
      <c r="B15" s="1"/>
      <c r="C15" s="1"/>
      <c r="D15" s="1"/>
      <c r="E15" s="1"/>
      <c r="F15" s="13" t="s">
        <v>42</v>
      </c>
    </row>
    <row r="16" spans="1:6" ht="30" customHeight="1" x14ac:dyDescent="0.25">
      <c r="A16" s="1" t="s">
        <v>87</v>
      </c>
      <c r="B16" s="1"/>
      <c r="C16" s="1"/>
      <c r="D16" s="1"/>
      <c r="E16" s="1"/>
      <c r="F16" s="22"/>
    </row>
    <row r="17" spans="1:6" ht="30" customHeight="1" x14ac:dyDescent="0.25">
      <c r="A17" s="1" t="s">
        <v>90</v>
      </c>
      <c r="B17" s="1"/>
      <c r="C17" s="1"/>
      <c r="D17" s="1"/>
      <c r="E17" s="1"/>
      <c r="F17" s="13" t="s">
        <v>42</v>
      </c>
    </row>
    <row r="18" spans="1:6" ht="30" customHeight="1" x14ac:dyDescent="0.25">
      <c r="A18" s="1" t="s">
        <v>93</v>
      </c>
      <c r="B18" s="1"/>
      <c r="C18" s="1"/>
      <c r="D18" s="1"/>
      <c r="E18" s="1"/>
      <c r="F18" s="22"/>
    </row>
    <row r="19" spans="1:6" ht="30" customHeight="1" x14ac:dyDescent="0.25">
      <c r="A19" s="1" t="s">
        <v>96</v>
      </c>
      <c r="B19" s="1"/>
      <c r="C19" s="1"/>
      <c r="D19" s="1"/>
      <c r="E19" s="1"/>
      <c r="F19" s="13" t="s">
        <v>49</v>
      </c>
    </row>
  </sheetData>
  <mergeCells count="7">
    <mergeCell ref="A18:E18"/>
    <mergeCell ref="A19:E19"/>
    <mergeCell ref="A13:E13"/>
    <mergeCell ref="A14:E14"/>
    <mergeCell ref="A15:E15"/>
    <mergeCell ref="A16:E16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Solved Exercises</vt:lpstr>
      <vt:lpstr>Students</vt:lpstr>
      <vt:lpstr>Stationery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Melisa Mustafa</cp:lastModifiedBy>
  <cp:revision>0</cp:revision>
  <dcterms:created xsi:type="dcterms:W3CDTF">2026-10-05T13:34:35Z</dcterms:created>
  <dcterms:modified xsi:type="dcterms:W3CDTF">2026-10-05T13:49:32Z</dcterms:modified>
  <dc:language>en-US</dc:language>
</cp:coreProperties>
</file>